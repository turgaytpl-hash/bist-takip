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gay T\Desktop\FON\"/>
    </mc:Choice>
  </mc:AlternateContent>
  <bookViews>
    <workbookView xWindow="0" yWindow="0" windowWidth="30720" windowHeight="13020" tabRatio="500" activeTab="7"/>
  </bookViews>
  <sheets>
    <sheet name="Ana Sayfa" sheetId="1" r:id="rId1"/>
    <sheet name="BMU" sheetId="2" r:id="rId2"/>
    <sheet name="DOH" sheetId="3" r:id="rId3"/>
    <sheet name="RBN" sheetId="4" r:id="rId4"/>
    <sheet name="RKH" sheetId="5" r:id="rId5"/>
    <sheet name="ST1" sheetId="6" r:id="rId6"/>
    <sheet name="THF" sheetId="7" r:id="rId7"/>
    <sheet name="BHA" sheetId="8" r:id="rId8"/>
    <sheet name="BIH" sheetId="9" r:id="rId9"/>
    <sheet name="HIM" sheetId="10" r:id="rId10"/>
    <sheet name="HVZ" sheetId="11" r:id="rId11"/>
    <sheet name="OMG" sheetId="12" r:id="rId12"/>
    <sheet name="PHE" sheetId="13" r:id="rId13"/>
    <sheet name="GL1" sheetId="14" r:id="rId14"/>
    <sheet name="HFR" sheetId="15" r:id="rId15"/>
    <sheet name="HGM" sheetId="16" r:id="rId16"/>
  </sheets>
  <definedNames>
    <definedName name="_xlnm._FilterDatabase" localSheetId="0" hidden="1">'Ana Sayfa'!$A$21:$R$87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16" l="1"/>
  <c r="A3" i="16"/>
  <c r="D25" i="15"/>
  <c r="A3" i="15"/>
  <c r="D28" i="14"/>
  <c r="A3" i="14"/>
  <c r="D29" i="13"/>
  <c r="A3" i="13"/>
  <c r="D30" i="12"/>
  <c r="A3" i="12"/>
  <c r="D23" i="11"/>
  <c r="A3" i="11"/>
  <c r="D19" i="10"/>
  <c r="A3" i="10"/>
  <c r="D56" i="9"/>
  <c r="A3" i="9"/>
  <c r="D43" i="8"/>
  <c r="A3" i="8"/>
  <c r="D35" i="7"/>
  <c r="A3" i="7"/>
  <c r="D28" i="6"/>
  <c r="A3" i="6"/>
  <c r="D26" i="5"/>
  <c r="A3" i="5"/>
  <c r="D21" i="4"/>
  <c r="A3" i="4"/>
  <c r="D19" i="3"/>
  <c r="A3" i="3"/>
  <c r="D6" i="2"/>
  <c r="A3" i="2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<sst xmlns="http://schemas.openxmlformats.org/spreadsheetml/2006/main" count="1087" uniqueCount="377">
  <si>
    <t>FON PORTFÖY ANALİZ SİSTEMİ — MART 2026  (15 FON)</t>
  </si>
  <si>
    <t>📁  FON LİSTESİ  —  Detay butonuna tıklayın</t>
  </si>
  <si>
    <t>KOD</t>
  </si>
  <si>
    <t>FON ADI</t>
  </si>
  <si>
    <t>KURUCU</t>
  </si>
  <si>
    <t>NET VARLIK DEĞERİ (TL)</t>
  </si>
  <si>
    <t>PAY FİYATI</t>
  </si>
  <si>
    <t>AYLIK DEĞİŞİM</t>
  </si>
  <si>
    <t>DETAY</t>
  </si>
  <si>
    <t>BMU</t>
  </si>
  <si>
    <t>BULLS PORTFÖY MUTLAK GETİRİ HEDEFLİ FON</t>
  </si>
  <si>
    <t>BULLS PORTFÖY YÖNETİMİ A.Ş.</t>
  </si>
  <si>
    <t>-11.09%</t>
  </si>
  <si>
    <t>DOH</t>
  </si>
  <si>
    <t>TERA PORTFÖY DÖRDÜNCÜ HİSSE SENEDİ SERBEST TL FON</t>
  </si>
  <si>
    <t>TERA PORTFÖY YÖNETİMİ A.Ş.</t>
  </si>
  <si>
    <t>+3.09%</t>
  </si>
  <si>
    <t>RBN</t>
  </si>
  <si>
    <t>RE-PIE PORTFÖY BEŞİNCİ HİSSE SENEDİ SERBEST FON</t>
  </si>
  <si>
    <t>RE-PIE PORTFÖY YÖNETİMİ A.Ş.</t>
  </si>
  <si>
    <t>+14.37%</t>
  </si>
  <si>
    <t>RKH</t>
  </si>
  <si>
    <t>RE-PIE KATILIM HİSSE SENEDİ SERBEST (TL) FON</t>
  </si>
  <si>
    <t>+3.13%</t>
  </si>
  <si>
    <t>ST1</t>
  </si>
  <si>
    <t>STRATEJİ PORTFÖY BİRİNCİ HİSSE SENEDİ FONU</t>
  </si>
  <si>
    <t>STRATEJİ PORTFÖY YÖNETİMİ A.Ş.</t>
  </si>
  <si>
    <t>-6.88%</t>
  </si>
  <si>
    <t>THF</t>
  </si>
  <si>
    <t>TERA PORTFÖY HİSSE SENEDİ (TL) FONU</t>
  </si>
  <si>
    <t>+4.85%</t>
  </si>
  <si>
    <t>BHA</t>
  </si>
  <si>
    <t>BULLS PORTFÖY HİSSE SENEDİ (TL) FONU</t>
  </si>
  <si>
    <t>+6.26%</t>
  </si>
  <si>
    <t>BIH</t>
  </si>
  <si>
    <t>PARDUS PYŞ BİRİNCİ HİSSE SENEDİ (TL) FONU</t>
  </si>
  <si>
    <t>PARDUS PORTFÖY YÖNETİMİ A.Ş.</t>
  </si>
  <si>
    <t>-1.34%</t>
  </si>
  <si>
    <t>HIM</t>
  </si>
  <si>
    <t>HEDEF PORTFÖY 2. MUTLAK GETİRİ HEDEFLİ HİSSE SENEDİ SERBEST FON</t>
  </si>
  <si>
    <t>HEDEF PORTFÖY YÖNETİMİ A.Ş.</t>
  </si>
  <si>
    <t>-3.09%</t>
  </si>
  <si>
    <t>HVZ</t>
  </si>
  <si>
    <t>ALLBATROSS PORTFÖY BİRİNCİ HİSSE SENEDİ (TL) FONU (HSYF)</t>
  </si>
  <si>
    <t>ALLBATROSS PORTFÖY YÖNETİMİ A.Ş.</t>
  </si>
  <si>
    <t>+10.20%</t>
  </si>
  <si>
    <t>OMG</t>
  </si>
  <si>
    <t>AZİMUT PORTFÖY İKİNCİ HİSSE SENEDİ FONU (HSYF)</t>
  </si>
  <si>
    <t>AZİMUT PORTFÖY YÖNETİMİ A.Ş.</t>
  </si>
  <si>
    <t>+3.75%</t>
  </si>
  <si>
    <t>PHE</t>
  </si>
  <si>
    <t>PUSULA PORTFÖY HİSSE SENEDİ FONU (HSYF)</t>
  </si>
  <si>
    <t>PUSULA PORTFÖY YÖNETİMİ A.Ş.</t>
  </si>
  <si>
    <t>-12.83%</t>
  </si>
  <si>
    <t>GL1</t>
  </si>
  <si>
    <t>AZİMUT PORTFÖY BİRİNCİ HİSSE SENEDİ FONU (HSYF)</t>
  </si>
  <si>
    <t>+7.62%</t>
  </si>
  <si>
    <t>HFR</t>
  </si>
  <si>
    <t>A1 CAPİTAL PORTFÖY HİSSE SENEDİ (TL) FONU (HSYF)</t>
  </si>
  <si>
    <t>A1 CAPİTAL PORTFÖY YÖNETİMİ A.Ş.</t>
  </si>
  <si>
    <t>+6.06%</t>
  </si>
  <si>
    <t>HGM</t>
  </si>
  <si>
    <t>HEDEF PORTFÖY İKİNCİ HİSSE SENEDİ (TL) FONU (HSYF)</t>
  </si>
  <si>
    <t>+0.99%</t>
  </si>
  <si>
    <t>📊  EN ÇOK TUTULAN HİSSELER  (15 Fon Analizi)</t>
  </si>
  <si>
    <t>HİSSE</t>
  </si>
  <si>
    <t>ŞİRKET ADI</t>
  </si>
  <si>
    <t>FON #</t>
  </si>
  <si>
    <t>YKBNK</t>
  </si>
  <si>
    <t>YAPI VE KREDİ BANKASI</t>
  </si>
  <si>
    <t>ASELS</t>
  </si>
  <si>
    <t>ASELSAN ELEKTRONİK</t>
  </si>
  <si>
    <t>KCHOL</t>
  </si>
  <si>
    <t>KOÇ HOLDİNG</t>
  </si>
  <si>
    <t>TUPRS</t>
  </si>
  <si>
    <t>TÜPRAŞ</t>
  </si>
  <si>
    <t>MGROS</t>
  </si>
  <si>
    <t>MİGROS TİCARET</t>
  </si>
  <si>
    <t>AKBNK</t>
  </si>
  <si>
    <t>AKBANK T.A.Ş.</t>
  </si>
  <si>
    <t>KRDMD</t>
  </si>
  <si>
    <t>KARDEMİR (D)</t>
  </si>
  <si>
    <t>EREGL</t>
  </si>
  <si>
    <t>EREĞLİ DEMİR ÇELİK</t>
  </si>
  <si>
    <t>SAHOL</t>
  </si>
  <si>
    <t>SABANCI HOLDİNG</t>
  </si>
  <si>
    <t>THYAO</t>
  </si>
  <si>
    <t>TÜRK HAVA YOLLARI</t>
  </si>
  <si>
    <t>BIMAS</t>
  </si>
  <si>
    <t>BİM BİRLEŞİK MAĞAZALAR</t>
  </si>
  <si>
    <t>ASTOR</t>
  </si>
  <si>
    <t>ASTOR ENERJİ</t>
  </si>
  <si>
    <t>ENKAI</t>
  </si>
  <si>
    <t>ENKA İNŞAAT</t>
  </si>
  <si>
    <t>TCELL</t>
  </si>
  <si>
    <t>TURKCELL</t>
  </si>
  <si>
    <t>GARAN</t>
  </si>
  <si>
    <t>TÜRKİYE GARANTİ BANKASI</t>
  </si>
  <si>
    <t>ISCTR</t>
  </si>
  <si>
    <t>TÜRKİYE İŞ BANKASI</t>
  </si>
  <si>
    <t>MPARK</t>
  </si>
  <si>
    <t>MEDİCAL PARK</t>
  </si>
  <si>
    <t>TRALT</t>
  </si>
  <si>
    <t>TÜRK ALTIN İŞLETMELERİ</t>
  </si>
  <si>
    <t>FROTO</t>
  </si>
  <si>
    <t>FORD OTOMOTİV</t>
  </si>
  <si>
    <t>EKGYO</t>
  </si>
  <si>
    <t>EMLAK KONUT GYO</t>
  </si>
  <si>
    <t>TAVHL</t>
  </si>
  <si>
    <t>TAV HAVALİMANLARI</t>
  </si>
  <si>
    <t>CIMSA</t>
  </si>
  <si>
    <t>ÇİMSA ÇİMENTO</t>
  </si>
  <si>
    <t>AEFES</t>
  </si>
  <si>
    <t>ANADOLU EFES</t>
  </si>
  <si>
    <t>PETKM</t>
  </si>
  <si>
    <t>PETKİM PETROKİMYA</t>
  </si>
  <si>
    <t>ALARK</t>
  </si>
  <si>
    <t>ALARKO HOLDİNG</t>
  </si>
  <si>
    <t>TRMET</t>
  </si>
  <si>
    <t>TR ANADOLU METAL</t>
  </si>
  <si>
    <t>ENJSA</t>
  </si>
  <si>
    <t>ENERJİSA ENERJİ</t>
  </si>
  <si>
    <t>GUBRF</t>
  </si>
  <si>
    <t>GÜBRE FABRİKALARI</t>
  </si>
  <si>
    <t>DOHOL</t>
  </si>
  <si>
    <t>DOĞAN HOLDİNG</t>
  </si>
  <si>
    <t>ULKER</t>
  </si>
  <si>
    <t>ÜLKER BİSKÜVİ</t>
  </si>
  <si>
    <t>SOKM</t>
  </si>
  <si>
    <t>ŞOK MARKETLER</t>
  </si>
  <si>
    <t>OYAKC</t>
  </si>
  <si>
    <t>OYAK ÇİMENTO</t>
  </si>
  <si>
    <t>KRDMA</t>
  </si>
  <si>
    <t>KARDEMİR (A)</t>
  </si>
  <si>
    <t>TOASO</t>
  </si>
  <si>
    <t>TOFAŞ TÜRK OTOMOBİL</t>
  </si>
  <si>
    <t>OTKAR</t>
  </si>
  <si>
    <t>OTOKAR OTOMOTİV</t>
  </si>
  <si>
    <t>TERA</t>
  </si>
  <si>
    <t>TERA MENKUL DEĞERLER</t>
  </si>
  <si>
    <t>SASA</t>
  </si>
  <si>
    <t>SASA POLYESTER</t>
  </si>
  <si>
    <t>PEKGY</t>
  </si>
  <si>
    <t>PEKER GYO</t>
  </si>
  <si>
    <t>PGSUS</t>
  </si>
  <si>
    <t>PEGASUS HAVA TAŞIMACILIĞI</t>
  </si>
  <si>
    <t>IZENR</t>
  </si>
  <si>
    <t>İZDEMİR ENERJİ</t>
  </si>
  <si>
    <t>TKFEN</t>
  </si>
  <si>
    <t>TEKFEN HOLDİNG</t>
  </si>
  <si>
    <t>GLRMK</t>
  </si>
  <si>
    <t>GÜLERMA AĞIR SANAYİ</t>
  </si>
  <si>
    <t>HALKB</t>
  </si>
  <si>
    <t>T. HALK BANKASI</t>
  </si>
  <si>
    <t>RUZYE</t>
  </si>
  <si>
    <t>RUZY MADENCİLİK</t>
  </si>
  <si>
    <t>TTKOM</t>
  </si>
  <si>
    <t>TÜRK TELEKOMÜNIKASYON</t>
  </si>
  <si>
    <t>BRSAN</t>
  </si>
  <si>
    <t>BORUSAN BİRLEŞİK BORU</t>
  </si>
  <si>
    <t>ODAS</t>
  </si>
  <si>
    <t>ODAŞ ELEKTRİK</t>
  </si>
  <si>
    <t>GLCVY</t>
  </si>
  <si>
    <t>GELECEK VARLIK YÖNETİMİ</t>
  </si>
  <si>
    <t>AKSGY</t>
  </si>
  <si>
    <t>AKİŞ GYO</t>
  </si>
  <si>
    <t>ISMEN</t>
  </si>
  <si>
    <t>İŞ YATIRIM MENKUL DEĞERLER</t>
  </si>
  <si>
    <t>AGHOL</t>
  </si>
  <si>
    <t>AG ANADOLU GRUBU HOLDİNG</t>
  </si>
  <si>
    <t>ANSGR</t>
  </si>
  <si>
    <t>ANADOLU SİGORTA</t>
  </si>
  <si>
    <t>TRCAS</t>
  </si>
  <si>
    <t>TURCAS PETROL</t>
  </si>
  <si>
    <t>AKSA</t>
  </si>
  <si>
    <t>AKSA AKRİLİK KİMYA</t>
  </si>
  <si>
    <t>DAPGM</t>
  </si>
  <si>
    <t>DAP GAYRİMENKUL</t>
  </si>
  <si>
    <t>CWENE</t>
  </si>
  <si>
    <t>CW ENERJİ</t>
  </si>
  <si>
    <t>DMRGD</t>
  </si>
  <si>
    <t>DMR UNLU MAMULLER</t>
  </si>
  <si>
    <t>LIDER</t>
  </si>
  <si>
    <t>LDR TURİZM</t>
  </si>
  <si>
    <t>TEHOL</t>
  </si>
  <si>
    <t>TERA YATIRIM TEKNOLOJİ HOLDİNG</t>
  </si>
  <si>
    <t>EGEGY</t>
  </si>
  <si>
    <t>EGE SERAMİK</t>
  </si>
  <si>
    <t>TRENJ</t>
  </si>
  <si>
    <t>TR DOĞAL ENERJİ</t>
  </si>
  <si>
    <t>TRHOL</t>
  </si>
  <si>
    <t>TERA FİNANSAL YATIRIMLAR</t>
  </si>
  <si>
    <t>MAVI</t>
  </si>
  <si>
    <t>MAVİ GİYİM</t>
  </si>
  <si>
    <t>VAKBN</t>
  </si>
  <si>
    <t>TÜRKİYE VAKIFLAR BANKASI</t>
  </si>
  <si>
    <t>SISE</t>
  </si>
  <si>
    <t>TÜRKİYE ŞİŞE VE CAM</t>
  </si>
  <si>
    <t>TSKB</t>
  </si>
  <si>
    <t>TÜRKİYE SINAİ KALKINMA</t>
  </si>
  <si>
    <t>BMU — BULLS PORTFÖY MUTLAK GETİRİ HEDEFLİ HİSSE SENEDİ SERBEST FON</t>
  </si>
  <si>
    <t>Kurucu:</t>
  </si>
  <si>
    <t>Net Varlık Değeri:</t>
  </si>
  <si>
    <t>Pay Fiyatı:</t>
  </si>
  <si>
    <t>Aylık: -11.09%</t>
  </si>
  <si>
    <t>HİSSE KODU</t>
  </si>
  <si>
    <t>NOMİNAL DEĞER</t>
  </si>
  <si>
    <t>TOPLAM DEĞER (TL)</t>
  </si>
  <si>
    <t>GRUP %</t>
  </si>
  <si>
    <t>TOPLAM %</t>
  </si>
  <si>
    <t>TOPLAM</t>
  </si>
  <si>
    <t>DOH — TERA PORTFÖY DÖRDÜNCÜ HİSSE SENEDİ SERBEST TL FON</t>
  </si>
  <si>
    <t>Aylık: +3.09%</t>
  </si>
  <si>
    <t>RBN — RE-PIE PORTFÖY BEŞİNCİ HİSSE SENEDİ SERBEST FON</t>
  </si>
  <si>
    <t>Aylık: +14.37%</t>
  </si>
  <si>
    <t>RKH — RE-PIE KATILIM HİSSE SENEDİ SERBEST (TL) FON</t>
  </si>
  <si>
    <t>Aylık: +3.13%</t>
  </si>
  <si>
    <t>ALBRK</t>
  </si>
  <si>
    <t>ALBARAKA TÜRK KATILIM</t>
  </si>
  <si>
    <t>GRSEL</t>
  </si>
  <si>
    <t>GÜR-SEL TURİZM</t>
  </si>
  <si>
    <t>BRISA</t>
  </si>
  <si>
    <t>BRİSA LASTİK</t>
  </si>
  <si>
    <t>TUKAS</t>
  </si>
  <si>
    <t>TUKAŞ GIDA</t>
  </si>
  <si>
    <t>NTGAZ</t>
  </si>
  <si>
    <t>NATURELGAZ</t>
  </si>
  <si>
    <t>LOGO</t>
  </si>
  <si>
    <t>LOGO YAZILIM</t>
  </si>
  <si>
    <t>ATATP</t>
  </si>
  <si>
    <t>ATP TİCARİ BİLGİSAYAR</t>
  </si>
  <si>
    <t>ST1 — STRATEJİ PORTFÖY BİRİNCİ HİSSE SENEDİ FONU (HSYF)</t>
  </si>
  <si>
    <t>Aylık: -6.88%</t>
  </si>
  <si>
    <t>KMPUR</t>
  </si>
  <si>
    <t>KİMTEKS POLİÜRETAN</t>
  </si>
  <si>
    <t>HTTBT</t>
  </si>
  <si>
    <t>HİTİT BİLGİSAYAR</t>
  </si>
  <si>
    <t>KLKIM</t>
  </si>
  <si>
    <t>KALEKİM KİMYEVİ</t>
  </si>
  <si>
    <t>GWIND</t>
  </si>
  <si>
    <t>GALATA WIND ENERJİ</t>
  </si>
  <si>
    <t>DESA</t>
  </si>
  <si>
    <t>DESA DERİ SANAYİ</t>
  </si>
  <si>
    <t>UNLU</t>
  </si>
  <si>
    <t>ÜNLÜ YATIRIM HOLDİNG</t>
  </si>
  <si>
    <t>ONRYT</t>
  </si>
  <si>
    <t>ONUR YÜKSEK TEKNOLOJİ</t>
  </si>
  <si>
    <t>DEVA</t>
  </si>
  <si>
    <t>DEVA HOLDİNG</t>
  </si>
  <si>
    <t>ISFIN</t>
  </si>
  <si>
    <t>İŞ FİNANSAL KİRALAMA</t>
  </si>
  <si>
    <t>BERA</t>
  </si>
  <si>
    <t>BERA HOLDİNG</t>
  </si>
  <si>
    <t>KAREL</t>
  </si>
  <si>
    <t>KAREL ELEKTRONİK</t>
  </si>
  <si>
    <t>NTHOL</t>
  </si>
  <si>
    <t>NET HOLDİNG</t>
  </si>
  <si>
    <t>ANHYT</t>
  </si>
  <si>
    <t>ANADOLU HAYAT EMEKLİLİK</t>
  </si>
  <si>
    <t>RYGYO</t>
  </si>
  <si>
    <t>REYSAŞ GYO</t>
  </si>
  <si>
    <t>AKIŞ GYO</t>
  </si>
  <si>
    <t>HATSN</t>
  </si>
  <si>
    <t>HAT-SAN GEMİ İNŞAA</t>
  </si>
  <si>
    <t>GLYHO</t>
  </si>
  <si>
    <t>GLOBAL YATIRIM HOLDİNG</t>
  </si>
  <si>
    <t>KORDS</t>
  </si>
  <si>
    <t>KORDSA TEKNİK TEKSTİL</t>
  </si>
  <si>
    <t>MNDRS</t>
  </si>
  <si>
    <t>MENDERES TEKSTİL</t>
  </si>
  <si>
    <t>THF — TERA PORTFÖY HİSSE SENEDİ (TL) FONU (HSYF)</t>
  </si>
  <si>
    <t>Aylık: +4.85%</t>
  </si>
  <si>
    <t>TÜRKİYE HALK BANKASI</t>
  </si>
  <si>
    <t>MCARD</t>
  </si>
  <si>
    <t>METROPOL KURUMSAL HİZMETLER</t>
  </si>
  <si>
    <t>BIGCH</t>
  </si>
  <si>
    <t>BÜYÜK ŞEFLER GIDA</t>
  </si>
  <si>
    <t>NETCD</t>
  </si>
  <si>
    <t>NETCAD YAZILIM</t>
  </si>
  <si>
    <t>GEREL</t>
  </si>
  <si>
    <t>GERSAN ELEKTRİK</t>
  </si>
  <si>
    <t>RNPOL</t>
  </si>
  <si>
    <t>RAİNBOW POLİKARBONAT</t>
  </si>
  <si>
    <t>FONET</t>
  </si>
  <si>
    <t>FONET BİLGİ TEKNOLOJİLERİ</t>
  </si>
  <si>
    <t>MOBTL</t>
  </si>
  <si>
    <t>MOBİLTEL İLETİŞİM</t>
  </si>
  <si>
    <t>BHA — BULLS PORTFÖY HİSSE SENEDİ (TL) FONU (HSYF)</t>
  </si>
  <si>
    <t>Aylık: +6.26%</t>
  </si>
  <si>
    <t>BULGS</t>
  </si>
  <si>
    <t>BULLS GİRİŞİM SERMAYESİ</t>
  </si>
  <si>
    <t>DOAS</t>
  </si>
  <si>
    <t>DOĞUŞ OTOMOTİV</t>
  </si>
  <si>
    <t>GOZDE</t>
  </si>
  <si>
    <t>GÖZDE GİRİŞİM SERMAYESİ</t>
  </si>
  <si>
    <t>BIH — PARDUS PYŞ BİRİNCİ HİSSE SENEDİ (TL) FONU (HSYF)</t>
  </si>
  <si>
    <t>Aylık: -1.34%</t>
  </si>
  <si>
    <t>A1YEN</t>
  </si>
  <si>
    <t>KARTAL YENİLENEBİLİR ENERJİ</t>
  </si>
  <si>
    <t>GLRYH</t>
  </si>
  <si>
    <t>A1 CAPİTAL (GLRYH)</t>
  </si>
  <si>
    <t>A1CAP</t>
  </si>
  <si>
    <t>A1 CAPİTAL MENKUL DEĞERLER</t>
  </si>
  <si>
    <t>KLRHO</t>
  </si>
  <si>
    <t>KİLER HOLDİNG</t>
  </si>
  <si>
    <t>HEKTS</t>
  </si>
  <si>
    <t>HEKTAŞ TİCARET</t>
  </si>
  <si>
    <t>AKSEN</t>
  </si>
  <si>
    <t>AKSA ENERJİ</t>
  </si>
  <si>
    <t>ARCLK</t>
  </si>
  <si>
    <t>ARÇELİK A.Ş.</t>
  </si>
  <si>
    <t>KOZA ALTIN İŞLETMELERİ</t>
  </si>
  <si>
    <t>VESTL</t>
  </si>
  <si>
    <t>VESTEL ELEKTRONİK</t>
  </si>
  <si>
    <t>KOZA ANADOLU METAL</t>
  </si>
  <si>
    <t>KONTR</t>
  </si>
  <si>
    <t>KONTROLMATİK</t>
  </si>
  <si>
    <t>HIM — HEDEF PORTFÖY 2. MUTLAK GETİRİ HEDEFLİ HİSSE SENEDİ SERBEST FON</t>
  </si>
  <si>
    <t>Aylık: -3.09%</t>
  </si>
  <si>
    <t>HVZ — ALLBATROSS PORTFÖY BİRİNCİ HİSSE SENEDİ (TL) FONU (HSYF)</t>
  </si>
  <si>
    <t>Aylık: +10.20%</t>
  </si>
  <si>
    <t>OZKGY</t>
  </si>
  <si>
    <t>ÖZAK GYO</t>
  </si>
  <si>
    <t>ORGE</t>
  </si>
  <si>
    <t>ORGE ENERJİ ELEKTRİK</t>
  </si>
  <si>
    <t>TRGYO</t>
  </si>
  <si>
    <t>TORUNLAR GYO</t>
  </si>
  <si>
    <t>CCOLA</t>
  </si>
  <si>
    <t>COCA COLA İÇECEK</t>
  </si>
  <si>
    <t>SNGYO</t>
  </si>
  <si>
    <t>SİNPAŞ GYO</t>
  </si>
  <si>
    <t>OMG — AZİMUT PORTFÖY İKİNCİ HİSSE SENEDİ FONU (HSYF)</t>
  </si>
  <si>
    <t>Aylık: +3.75%</t>
  </si>
  <si>
    <t>AVPGY</t>
  </si>
  <si>
    <t>AVRUPAKENT GYO</t>
  </si>
  <si>
    <t>ISDMR</t>
  </si>
  <si>
    <t>İSKENDERUN DEMİR ÇELİK</t>
  </si>
  <si>
    <t>AKCNS</t>
  </si>
  <si>
    <t>AKÇANSA ÇİMENTO</t>
  </si>
  <si>
    <t>PHE — PUSULA PORTFÖY HİSSE SENEDİ FONU (HSYF)</t>
  </si>
  <si>
    <t>Aylık: -12.83%</t>
  </si>
  <si>
    <t>ODINE</t>
  </si>
  <si>
    <t>ODİNE SOLUTIONS</t>
  </si>
  <si>
    <t>GUNDG</t>
  </si>
  <si>
    <t>GÜNDOĞDU GIDA SÜT</t>
  </si>
  <si>
    <t>HEDEF</t>
  </si>
  <si>
    <t>HEDEF HOLDİNG</t>
  </si>
  <si>
    <t>KTLEV</t>
  </si>
  <si>
    <t>KATILIMEVİM TASARRUF</t>
  </si>
  <si>
    <t>PASEU</t>
  </si>
  <si>
    <t>PASİFİK EURASİA LOJİSTİK</t>
  </si>
  <si>
    <t>TATEN</t>
  </si>
  <si>
    <t>TATLIPINAR ENERJİ</t>
  </si>
  <si>
    <t>ALKLC</t>
  </si>
  <si>
    <t>ALTINKILIÇ GIDA VE SÜT</t>
  </si>
  <si>
    <t>GL1 — AZİMUT PORTFÖY BİRİNCİ HİSSE SENEDİ FONU (HSYF)</t>
  </si>
  <si>
    <t>Aylık: +7.62%</t>
  </si>
  <si>
    <t>TABGD</t>
  </si>
  <si>
    <t>TAB GIDA SANAYİ</t>
  </si>
  <si>
    <t>AGESA</t>
  </si>
  <si>
    <t>AVİVA SİGORTA</t>
  </si>
  <si>
    <t>AKGRT</t>
  </si>
  <si>
    <t>AKSİGORTA A.Ş.</t>
  </si>
  <si>
    <t>HFR — A1 CAPİTAL PORTFÖY HİSSE SENEDİ (TL) FONU (HSYF)</t>
  </si>
  <si>
    <t>Aylık: +6.06%</t>
  </si>
  <si>
    <t>YEOTK</t>
  </si>
  <si>
    <t>YEO TEKNOLOJİ ENERJİ</t>
  </si>
  <si>
    <t>CGCAM</t>
  </si>
  <si>
    <t>ÇAĞDAŞ CAM SANAYİ</t>
  </si>
  <si>
    <t>HGM — HEDEF PORTFÖY İKİNCİ HİSSE SENEDİ (TL) FONU (HSYF)</t>
  </si>
  <si>
    <t>Aylık: +0.99%</t>
  </si>
  <si>
    <t>TURSG</t>
  </si>
  <si>
    <t>TÜRKİYE SİGORTA</t>
  </si>
  <si>
    <t>TATGD</t>
  </si>
  <si>
    <t>TAT GIDA SANAYİ</t>
  </si>
  <si>
    <t>CANTE</t>
  </si>
  <si>
    <t>ÇAN2 TERMİK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</si>
</sst>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TL&quot;"/>
    <numFmt numFmtId="165" formatCode="0.000000"/>
    <numFmt numFmtId="166" formatCode="0.00\%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CC0000"/>
      <name val="Arial"/>
      <family val="2"/>
      <charset val="162"/>
    </font>
    <font>
      <b/>
      <sz val="10"/>
      <color rgb="FF2E74B5"/>
      <name val="Arial"/>
      <family val="2"/>
      <charset val="162"/>
    </font>
    <font>
      <b/>
      <sz val="10"/>
      <color rgb="FF007030"/>
      <name val="Arial"/>
      <family val="2"/>
      <charset val="162"/>
    </font>
    <font>
      <sz val="9"/>
      <color rgb="FFCCCCCC"/>
      <name val="Arial"/>
      <family val="2"/>
      <charset val="162"/>
    </font>
    <font>
      <b/>
      <sz val="9"/>
      <color rgb="FF007030"/>
      <name val="Arial"/>
      <family val="2"/>
      <charset val="162"/>
    </font>
    <font>
      <b/>
      <sz val="10"/>
      <color rgb="FFE65C00"/>
      <name val="Arial"/>
      <family val="2"/>
      <charset val="162"/>
    </font>
    <font>
      <b/>
      <sz val="10"/>
      <color rgb="FF0070C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9"/>
      <color rgb="FF2E74B5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0"/>
      <color rgb="FFCC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0"/>
      <color rgb="FF00AA0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9"/>
      <color rgb="FF2E74B5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0"/>
      <color rgb="FF00AA00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70C0"/>
      </patternFill>
    </fill>
    <fill>
      <patternFill patternType="solid">
        <fgColor rgb="FFF0F7FF"/>
        <bgColor rgb="FFFFFFFF"/>
      </patternFill>
    </fill>
    <fill>
      <patternFill patternType="solid">
        <fgColor rgb="FFFFE0E0"/>
        <bgColor rgb="FFE2EFDA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F0F7FF"/>
      </patternFill>
    </fill>
    <fill>
      <patternFill patternType="solid">
        <fgColor rgb="FFE2EFDA"/>
        <bgColor rgb="FFD5F5E3"/>
      </patternFill>
    </fill>
    <fill>
      <patternFill patternType="solid">
        <fgColor rgb="FFD5F5E3"/>
        <bgColor rgb="FFE2EFDA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6" fontId="10" fillId="9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164" fontId="16" fillId="0" borderId="0" xfId="0" applyNumberFormat="1" applyFont="1"/>
    <xf numFmtId="0" fontId="17" fillId="0" borderId="0" xfId="0" applyFont="1"/>
    <xf numFmtId="0" fontId="14" fillId="6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3" fontId="20" fillId="7" borderId="1" xfId="0" applyNumberFormat="1" applyFont="1" applyFill="1" applyBorder="1" applyAlignment="1">
      <alignment horizontal="center" vertical="center"/>
    </xf>
    <xf numFmtId="164" fontId="20" fillId="7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1" fillId="2" borderId="1" xfId="0" applyFont="1" applyFill="1" applyBorder="1"/>
    <xf numFmtId="164" fontId="21" fillId="2" borderId="1" xfId="0" applyNumberFormat="1" applyFont="1" applyFill="1" applyBorder="1"/>
    <xf numFmtId="0" fontId="22" fillId="0" borderId="0" xfId="0" applyFont="1"/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3" fontId="20" fillId="4" borderId="1" xfId="0" applyNumberFormat="1" applyFont="1" applyFill="1" applyBorder="1" applyAlignment="1">
      <alignment horizontal="center" vertical="center"/>
    </xf>
    <xf numFmtId="164" fontId="20" fillId="4" borderId="1" xfId="0" applyNumberFormat="1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164" fontId="26" fillId="0" borderId="0" xfId="0" applyNumberFormat="1" applyFont="1"/>
    <xf numFmtId="0" fontId="6" fillId="0" borderId="0" xfId="0" applyFont="1"/>
    <xf numFmtId="0" fontId="24" fillId="6" borderId="0" xfId="0" applyFont="1" applyFill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27" fillId="0" borderId="0" xfId="0" applyFont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7FF"/>
      <rgbColor rgb="FFE2EFDA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5F5E3"/>
      <rgbColor rgb="FFFFFF99"/>
      <rgbColor rgb="FF99CCFF"/>
      <rgbColor rgb="FFFF99CC"/>
      <rgbColor rgb="FFCC99FF"/>
      <rgbColor rgb="FFFFE0E0"/>
      <rgbColor rgb="FF2E74B5"/>
      <rgbColor rgb="FF33CCCC"/>
      <rgbColor rgb="FF99CC00"/>
      <rgbColor rgb="FFFFCC00"/>
      <rgbColor rgb="FFFF9900"/>
      <rgbColor rgb="FFE65C00"/>
      <rgbColor rgb="FF666699"/>
      <rgbColor rgb="FF969696"/>
      <rgbColor rgb="FF1F3864"/>
      <rgbColor rgb="FF00AA0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87"/>
  <sheetViews>
    <sheetView showGridLines="0" zoomScaleNormal="100" workbookViewId="0">
      <selection activeCell="G10" sqref="G10"/>
    </sheetView>
  </sheetViews>
  <sheetFormatPr defaultColWidth="8.7109375" defaultRowHeight="15" x14ac:dyDescent="0.25"/>
  <cols>
    <col min="1" max="1" width="10" customWidth="1"/>
    <col min="2" max="2" width="28" customWidth="1"/>
    <col min="3" max="3" width="37" bestFit="1" customWidth="1"/>
    <col min="4" max="4" width="19.140625" bestFit="1" customWidth="1"/>
    <col min="5" max="5" width="11.5703125" bestFit="1" customWidth="1"/>
    <col min="6" max="18" width="8" customWidth="1"/>
  </cols>
  <sheetData>
    <row r="1" spans="1:10" ht="31.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9.5" customHeight="1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27.7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10" ht="18" customHeight="1" x14ac:dyDescent="0.25">
      <c r="A4" s="2" t="s">
        <v>9</v>
      </c>
      <c r="B4" s="3" t="s">
        <v>10</v>
      </c>
      <c r="C4" s="3" t="s">
        <v>11</v>
      </c>
      <c r="D4" s="4">
        <v>808693167.33000004</v>
      </c>
      <c r="E4" s="5">
        <v>0.87934599999999996</v>
      </c>
      <c r="F4" s="6" t="s">
        <v>12</v>
      </c>
      <c r="G4" s="7" t="str">
        <f>HYPERLINK("#BMU!A1","→ BMU")</f>
        <v>→ BMU</v>
      </c>
    </row>
    <row r="5" spans="1:10" ht="18" customHeight="1" x14ac:dyDescent="0.25">
      <c r="A5" s="8" t="s">
        <v>13</v>
      </c>
      <c r="B5" s="9" t="s">
        <v>14</v>
      </c>
      <c r="C5" s="9" t="s">
        <v>15</v>
      </c>
      <c r="D5" s="10">
        <v>751586597.69000006</v>
      </c>
      <c r="E5" s="11">
        <v>1.9083019999999999</v>
      </c>
      <c r="F5" s="12" t="s">
        <v>16</v>
      </c>
      <c r="G5" s="7" t="str">
        <f>HYPERLINK("#DOH!A1","→ DOH")</f>
        <v>→ DOH</v>
      </c>
    </row>
    <row r="6" spans="1:10" ht="18" customHeight="1" x14ac:dyDescent="0.25">
      <c r="A6" s="2" t="s">
        <v>17</v>
      </c>
      <c r="B6" s="3" t="s">
        <v>18</v>
      </c>
      <c r="C6" s="3" t="s">
        <v>19</v>
      </c>
      <c r="D6" s="4">
        <v>39692727.25</v>
      </c>
      <c r="E6" s="5">
        <v>1.5477479999999999</v>
      </c>
      <c r="F6" s="12" t="s">
        <v>20</v>
      </c>
      <c r="G6" s="7" t="str">
        <f>HYPERLINK("#RBN!A1","→ RBN")</f>
        <v>→ RBN</v>
      </c>
    </row>
    <row r="7" spans="1:10" ht="18" customHeight="1" x14ac:dyDescent="0.25">
      <c r="A7" s="8" t="s">
        <v>21</v>
      </c>
      <c r="B7" s="9" t="s">
        <v>22</v>
      </c>
      <c r="C7" s="9" t="s">
        <v>19</v>
      </c>
      <c r="D7" s="10">
        <v>7765850.4699999997</v>
      </c>
      <c r="E7" s="11">
        <v>0.92948699999999995</v>
      </c>
      <c r="F7" s="12" t="s">
        <v>23</v>
      </c>
      <c r="G7" s="7" t="str">
        <f>HYPERLINK("#RKH!A1","→ RKH")</f>
        <v>→ RKH</v>
      </c>
    </row>
    <row r="8" spans="1:10" ht="18" customHeight="1" x14ac:dyDescent="0.25">
      <c r="A8" s="2" t="s">
        <v>24</v>
      </c>
      <c r="B8" s="3" t="s">
        <v>25</v>
      </c>
      <c r="C8" s="3" t="s">
        <v>26</v>
      </c>
      <c r="D8" s="4">
        <v>653504993.00999999</v>
      </c>
      <c r="E8" s="5">
        <v>178.175862</v>
      </c>
      <c r="F8" s="6" t="s">
        <v>27</v>
      </c>
      <c r="G8" s="7" t="str">
        <f>HYPERLINK("#ST1!A1","→ ST1")</f>
        <v>→ ST1</v>
      </c>
    </row>
    <row r="9" spans="1:10" ht="18" customHeight="1" x14ac:dyDescent="0.25">
      <c r="A9" s="8" t="s">
        <v>28</v>
      </c>
      <c r="B9" s="9" t="s">
        <v>29</v>
      </c>
      <c r="C9" s="9" t="s">
        <v>15</v>
      </c>
      <c r="D9" s="10">
        <v>841767965.19000006</v>
      </c>
      <c r="E9" s="11">
        <v>1.9923900000000001</v>
      </c>
      <c r="F9" s="12" t="s">
        <v>30</v>
      </c>
      <c r="G9" s="7" t="str">
        <f>HYPERLINK("#THF!A1","→ THF")</f>
        <v>→ THF</v>
      </c>
    </row>
    <row r="10" spans="1:10" ht="18" customHeight="1" x14ac:dyDescent="0.25">
      <c r="A10" s="2" t="s">
        <v>31</v>
      </c>
      <c r="B10" s="3" t="s">
        <v>32</v>
      </c>
      <c r="C10" s="3" t="s">
        <v>11</v>
      </c>
      <c r="D10" s="4">
        <v>118568326.2</v>
      </c>
      <c r="E10" s="5">
        <v>1.532151</v>
      </c>
      <c r="F10" s="12" t="s">
        <v>33</v>
      </c>
      <c r="G10" s="7" t="str">
        <f>HYPERLINK("#BHA!A1","→ BHA")</f>
        <v>→ BHA</v>
      </c>
    </row>
    <row r="11" spans="1:10" ht="18" customHeight="1" x14ac:dyDescent="0.25">
      <c r="A11" s="8" t="s">
        <v>34</v>
      </c>
      <c r="B11" s="9" t="s">
        <v>35</v>
      </c>
      <c r="C11" s="9" t="s">
        <v>36</v>
      </c>
      <c r="D11" s="10">
        <v>725583664.72000003</v>
      </c>
      <c r="E11" s="11">
        <v>7.1771609999999999</v>
      </c>
      <c r="F11" s="6" t="s">
        <v>37</v>
      </c>
      <c r="G11" s="7" t="str">
        <f>HYPERLINK("#BIH!A1","→ BIH")</f>
        <v>→ BIH</v>
      </c>
    </row>
    <row r="12" spans="1:10" ht="18" customHeight="1" x14ac:dyDescent="0.25">
      <c r="A12" s="2" t="s">
        <v>38</v>
      </c>
      <c r="B12" s="3" t="s">
        <v>39</v>
      </c>
      <c r="C12" s="3" t="s">
        <v>40</v>
      </c>
      <c r="D12" s="4">
        <v>419300578.58999997</v>
      </c>
      <c r="E12" s="5">
        <v>3.3968219999999998</v>
      </c>
      <c r="F12" s="6" t="s">
        <v>41</v>
      </c>
      <c r="G12" s="7" t="str">
        <f>HYPERLINK("#HIM!A1","→ HIM")</f>
        <v>→ HIM</v>
      </c>
    </row>
    <row r="13" spans="1:10" ht="18" customHeight="1" x14ac:dyDescent="0.25">
      <c r="A13" s="8" t="s">
        <v>42</v>
      </c>
      <c r="B13" s="9" t="s">
        <v>43</v>
      </c>
      <c r="C13" s="9" t="s">
        <v>44</v>
      </c>
      <c r="D13" s="10">
        <v>100698268.42</v>
      </c>
      <c r="E13" s="11">
        <v>7.0142910000000001</v>
      </c>
      <c r="F13" s="12" t="s">
        <v>45</v>
      </c>
      <c r="G13" s="7" t="str">
        <f>HYPERLINK("#HVZ!A1","→ HVZ")</f>
        <v>→ HVZ</v>
      </c>
    </row>
    <row r="14" spans="1:10" ht="18" customHeight="1" x14ac:dyDescent="0.25">
      <c r="A14" s="2" t="s">
        <v>46</v>
      </c>
      <c r="B14" s="3" t="s">
        <v>47</v>
      </c>
      <c r="C14" s="3" t="s">
        <v>48</v>
      </c>
      <c r="D14" s="4">
        <v>1164670121.5699999</v>
      </c>
      <c r="E14" s="5">
        <v>1.6714150000000001</v>
      </c>
      <c r="F14" s="12" t="s">
        <v>49</v>
      </c>
      <c r="G14" s="7" t="str">
        <f>HYPERLINK("#OMG!A1","→ OMG")</f>
        <v>→ OMG</v>
      </c>
    </row>
    <row r="15" spans="1:10" ht="18" customHeight="1" x14ac:dyDescent="0.25">
      <c r="A15" s="8" t="s">
        <v>50</v>
      </c>
      <c r="B15" s="9" t="s">
        <v>51</v>
      </c>
      <c r="C15" s="9" t="s">
        <v>52</v>
      </c>
      <c r="D15" s="10">
        <v>20874300023.599998</v>
      </c>
      <c r="E15" s="11">
        <v>2.2725659999999999</v>
      </c>
      <c r="F15" s="6" t="s">
        <v>53</v>
      </c>
      <c r="G15" s="7" t="str">
        <f>HYPERLINK("#PHE!A1","→ PHE")</f>
        <v>→ PHE</v>
      </c>
    </row>
    <row r="16" spans="1:10" ht="18" customHeight="1" x14ac:dyDescent="0.25">
      <c r="A16" s="2" t="s">
        <v>54</v>
      </c>
      <c r="B16" s="3" t="s">
        <v>55</v>
      </c>
      <c r="C16" s="3" t="s">
        <v>48</v>
      </c>
      <c r="D16" s="4">
        <v>1228525001.76</v>
      </c>
      <c r="E16" s="5">
        <v>1417.775054</v>
      </c>
      <c r="F16" s="12" t="s">
        <v>56</v>
      </c>
      <c r="G16" s="7" t="str">
        <f>HYPERLINK("#GL1!A1","→ GL1")</f>
        <v>→ GL1</v>
      </c>
    </row>
    <row r="17" spans="1:18" ht="18" customHeight="1" x14ac:dyDescent="0.25">
      <c r="A17" s="8" t="s">
        <v>57</v>
      </c>
      <c r="B17" s="9" t="s">
        <v>58</v>
      </c>
      <c r="C17" s="9" t="s">
        <v>59</v>
      </c>
      <c r="D17" s="10">
        <v>88211135.659999996</v>
      </c>
      <c r="E17" s="11">
        <v>1.433457</v>
      </c>
      <c r="F17" s="12" t="s">
        <v>60</v>
      </c>
      <c r="G17" s="7" t="str">
        <f>HYPERLINK("#HFR!A1","→ HFR")</f>
        <v>→ HFR</v>
      </c>
    </row>
    <row r="18" spans="1:18" ht="18" customHeight="1" x14ac:dyDescent="0.25">
      <c r="A18" s="2" t="s">
        <v>61</v>
      </c>
      <c r="B18" s="3" t="s">
        <v>62</v>
      </c>
      <c r="C18" s="3" t="s">
        <v>40</v>
      </c>
      <c r="D18" s="4">
        <v>114746135</v>
      </c>
      <c r="E18" s="5">
        <v>3.6192820000000001</v>
      </c>
      <c r="F18" s="12" t="s">
        <v>63</v>
      </c>
      <c r="G18" s="7" t="str">
        <f>HYPERLINK("#HGM!A1","→ HGM")</f>
        <v>→ HGM</v>
      </c>
    </row>
    <row r="19" spans="1:18" ht="16.5" customHeight="1" x14ac:dyDescent="0.25"/>
    <row r="20" spans="1:18" ht="19.5" customHeight="1" x14ac:dyDescent="0.25">
      <c r="A20" s="55" t="s">
        <v>64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spans="1:18" ht="27.75" customHeight="1" x14ac:dyDescent="0.25">
      <c r="A21" s="1" t="s">
        <v>65</v>
      </c>
      <c r="B21" s="1" t="s">
        <v>66</v>
      </c>
      <c r="C21" s="1" t="s">
        <v>67</v>
      </c>
      <c r="D21" s="1" t="s">
        <v>9</v>
      </c>
      <c r="E21" s="1" t="s">
        <v>13</v>
      </c>
      <c r="F21" s="1" t="s">
        <v>17</v>
      </c>
      <c r="G21" s="1" t="s">
        <v>21</v>
      </c>
      <c r="H21" s="1" t="s">
        <v>24</v>
      </c>
      <c r="I21" s="1" t="s">
        <v>28</v>
      </c>
      <c r="J21" s="1" t="s">
        <v>31</v>
      </c>
      <c r="K21" s="1" t="s">
        <v>34</v>
      </c>
      <c r="L21" s="1" t="s">
        <v>38</v>
      </c>
      <c r="M21" s="1" t="s">
        <v>42</v>
      </c>
      <c r="N21" s="1" t="s">
        <v>46</v>
      </c>
      <c r="O21" s="1" t="s">
        <v>50</v>
      </c>
      <c r="P21" s="1" t="s">
        <v>54</v>
      </c>
      <c r="Q21" s="1" t="s">
        <v>57</v>
      </c>
      <c r="R21" s="1" t="s">
        <v>61</v>
      </c>
    </row>
    <row r="22" spans="1:18" ht="16.5" hidden="1" customHeight="1" x14ac:dyDescent="0.25">
      <c r="A22" s="2" t="s">
        <v>68</v>
      </c>
      <c r="B22" s="3" t="s">
        <v>69</v>
      </c>
      <c r="C22" s="13">
        <v>10</v>
      </c>
      <c r="D22" s="14"/>
      <c r="E22" s="15">
        <v>4.57</v>
      </c>
      <c r="F22" s="15">
        <v>6.19</v>
      </c>
      <c r="G22" s="14"/>
      <c r="H22" s="14"/>
      <c r="I22" s="15">
        <v>4.9000000000000004</v>
      </c>
      <c r="J22" s="15">
        <v>3.34</v>
      </c>
      <c r="K22" s="15">
        <v>1.4</v>
      </c>
      <c r="L22" s="15">
        <v>0.28000000000000003</v>
      </c>
      <c r="M22" s="15">
        <v>4.3600000000000003</v>
      </c>
      <c r="N22" s="14"/>
      <c r="O22" s="15">
        <v>0.61</v>
      </c>
      <c r="P22" s="14"/>
      <c r="Q22" s="15">
        <v>3.48</v>
      </c>
      <c r="R22" s="15">
        <v>2.0099999999999998</v>
      </c>
    </row>
    <row r="23" spans="1:18" ht="16.5" hidden="1" customHeight="1" x14ac:dyDescent="0.25">
      <c r="A23" s="8" t="s">
        <v>70</v>
      </c>
      <c r="B23" s="9" t="s">
        <v>71</v>
      </c>
      <c r="C23" s="16">
        <v>10</v>
      </c>
      <c r="D23" s="17"/>
      <c r="E23" s="15">
        <v>14.42</v>
      </c>
      <c r="F23" s="15">
        <v>6.4</v>
      </c>
      <c r="G23" s="15">
        <v>9.9</v>
      </c>
      <c r="H23" s="15">
        <v>2.46</v>
      </c>
      <c r="I23" s="15">
        <v>9.52</v>
      </c>
      <c r="J23" s="17"/>
      <c r="K23" s="15">
        <v>1.81</v>
      </c>
      <c r="L23" s="17"/>
      <c r="M23" s="17"/>
      <c r="N23" s="15">
        <v>6.87</v>
      </c>
      <c r="O23" s="17"/>
      <c r="P23" s="15">
        <v>6.52</v>
      </c>
      <c r="Q23" s="15">
        <v>8.7100000000000009</v>
      </c>
      <c r="R23" s="15">
        <v>7.27</v>
      </c>
    </row>
    <row r="24" spans="1:18" ht="16.5" hidden="1" customHeight="1" x14ac:dyDescent="0.25">
      <c r="A24" s="2" t="s">
        <v>72</v>
      </c>
      <c r="B24" s="3" t="s">
        <v>73</v>
      </c>
      <c r="C24" s="13">
        <v>9</v>
      </c>
      <c r="D24" s="14"/>
      <c r="E24" s="14"/>
      <c r="F24" s="15">
        <v>4.0199999999999996</v>
      </c>
      <c r="G24" s="14"/>
      <c r="H24" s="14"/>
      <c r="I24" s="14"/>
      <c r="J24" s="15">
        <v>3.29</v>
      </c>
      <c r="K24" s="15">
        <v>1.38</v>
      </c>
      <c r="L24" s="15">
        <v>3.51</v>
      </c>
      <c r="M24" s="15">
        <v>2.96</v>
      </c>
      <c r="N24" s="15">
        <v>3.35</v>
      </c>
      <c r="O24" s="15">
        <v>1.97</v>
      </c>
      <c r="P24" s="14"/>
      <c r="Q24" s="15">
        <v>4.42</v>
      </c>
      <c r="R24" s="15">
        <v>2.5499999999999998</v>
      </c>
    </row>
    <row r="25" spans="1:18" ht="16.5" hidden="1" customHeight="1" x14ac:dyDescent="0.25">
      <c r="A25" s="8" t="s">
        <v>74</v>
      </c>
      <c r="B25" s="9" t="s">
        <v>75</v>
      </c>
      <c r="C25" s="16">
        <v>9</v>
      </c>
      <c r="D25" s="17"/>
      <c r="E25" s="17"/>
      <c r="F25" s="15">
        <v>4.4400000000000004</v>
      </c>
      <c r="G25" s="15">
        <v>7.97</v>
      </c>
      <c r="H25" s="17"/>
      <c r="I25" s="15">
        <v>2.2999999999999998</v>
      </c>
      <c r="J25" s="17"/>
      <c r="K25" s="15">
        <v>1.59</v>
      </c>
      <c r="L25" s="15">
        <v>1.26</v>
      </c>
      <c r="M25" s="17"/>
      <c r="N25" s="15">
        <v>9.98</v>
      </c>
      <c r="O25" s="17"/>
      <c r="P25" s="15">
        <v>6.73</v>
      </c>
      <c r="Q25" s="15">
        <v>4.0999999999999996</v>
      </c>
      <c r="R25" s="15">
        <v>2.36</v>
      </c>
    </row>
    <row r="26" spans="1:18" ht="16.5" hidden="1" customHeight="1" x14ac:dyDescent="0.25">
      <c r="A26" s="2" t="s">
        <v>76</v>
      </c>
      <c r="B26" s="3" t="s">
        <v>77</v>
      </c>
      <c r="C26" s="13">
        <v>9</v>
      </c>
      <c r="D26" s="14"/>
      <c r="E26" s="14"/>
      <c r="F26" s="15">
        <v>3.79</v>
      </c>
      <c r="G26" s="14"/>
      <c r="H26" s="14"/>
      <c r="I26" s="14"/>
      <c r="J26" s="15">
        <v>2.29</v>
      </c>
      <c r="K26" s="15">
        <v>1.21</v>
      </c>
      <c r="L26" s="14"/>
      <c r="M26" s="15">
        <v>3.38</v>
      </c>
      <c r="N26" s="15">
        <v>5.17</v>
      </c>
      <c r="O26" s="15">
        <v>3.54</v>
      </c>
      <c r="P26" s="15">
        <v>4.9000000000000004</v>
      </c>
      <c r="Q26" s="15">
        <v>2.73</v>
      </c>
      <c r="R26" s="15">
        <v>3.15</v>
      </c>
    </row>
    <row r="27" spans="1:18" ht="16.5" hidden="1" customHeight="1" x14ac:dyDescent="0.25">
      <c r="A27" s="8" t="s">
        <v>78</v>
      </c>
      <c r="B27" s="9" t="s">
        <v>79</v>
      </c>
      <c r="C27" s="16">
        <v>8</v>
      </c>
      <c r="D27" s="17"/>
      <c r="E27" s="17"/>
      <c r="F27" s="15">
        <v>15.66</v>
      </c>
      <c r="G27" s="17"/>
      <c r="H27" s="17"/>
      <c r="I27" s="15">
        <v>1.57</v>
      </c>
      <c r="J27" s="15">
        <v>6.13</v>
      </c>
      <c r="K27" s="15">
        <v>3.24</v>
      </c>
      <c r="L27" s="15">
        <v>4.43</v>
      </c>
      <c r="M27" s="17"/>
      <c r="N27" s="17"/>
      <c r="O27" s="15">
        <v>1.91</v>
      </c>
      <c r="P27" s="17"/>
      <c r="Q27" s="15">
        <v>6.29</v>
      </c>
      <c r="R27" s="15">
        <v>2.04</v>
      </c>
    </row>
    <row r="28" spans="1:18" ht="16.5" hidden="1" customHeight="1" x14ac:dyDescent="0.25">
      <c r="A28" s="2" t="s">
        <v>80</v>
      </c>
      <c r="B28" s="3" t="s">
        <v>81</v>
      </c>
      <c r="C28" s="13">
        <v>8</v>
      </c>
      <c r="D28" s="14"/>
      <c r="E28" s="14"/>
      <c r="F28" s="14"/>
      <c r="G28" s="15">
        <v>5.31</v>
      </c>
      <c r="H28" s="15">
        <v>2.89</v>
      </c>
      <c r="I28" s="15">
        <v>2.75</v>
      </c>
      <c r="J28" s="15">
        <v>0.65</v>
      </c>
      <c r="K28" s="15">
        <v>0.55000000000000004</v>
      </c>
      <c r="L28" s="14"/>
      <c r="M28" s="14"/>
      <c r="N28" s="15">
        <v>3.98</v>
      </c>
      <c r="O28" s="14"/>
      <c r="P28" s="15">
        <v>5.03</v>
      </c>
      <c r="Q28" s="15">
        <v>1.93</v>
      </c>
      <c r="R28" s="14"/>
    </row>
    <row r="29" spans="1:18" ht="16.5" hidden="1" customHeight="1" x14ac:dyDescent="0.25">
      <c r="A29" s="8" t="s">
        <v>82</v>
      </c>
      <c r="B29" s="9" t="s">
        <v>83</v>
      </c>
      <c r="C29" s="16">
        <v>8</v>
      </c>
      <c r="D29" s="17"/>
      <c r="E29" s="17"/>
      <c r="F29" s="15">
        <v>4.7300000000000004</v>
      </c>
      <c r="G29" s="15">
        <v>4.6399999999999997</v>
      </c>
      <c r="H29" s="17"/>
      <c r="I29" s="17"/>
      <c r="J29" s="15">
        <v>2.62</v>
      </c>
      <c r="K29" s="15">
        <v>1.67</v>
      </c>
      <c r="L29" s="17"/>
      <c r="M29" s="17"/>
      <c r="N29" s="15">
        <v>3.64</v>
      </c>
      <c r="O29" s="15">
        <v>0.68</v>
      </c>
      <c r="P29" s="15">
        <v>2.2999999999999998</v>
      </c>
      <c r="Q29" s="15">
        <v>3.84</v>
      </c>
      <c r="R29" s="17"/>
    </row>
    <row r="30" spans="1:18" ht="16.5" hidden="1" customHeight="1" x14ac:dyDescent="0.25">
      <c r="A30" s="2" t="s">
        <v>84</v>
      </c>
      <c r="B30" s="3" t="s">
        <v>85</v>
      </c>
      <c r="C30" s="18">
        <v>7</v>
      </c>
      <c r="D30" s="14"/>
      <c r="E30" s="14"/>
      <c r="F30" s="14"/>
      <c r="G30" s="14"/>
      <c r="H30" s="14"/>
      <c r="I30" s="14"/>
      <c r="J30" s="15">
        <v>3.77</v>
      </c>
      <c r="K30" s="15">
        <v>2.08</v>
      </c>
      <c r="L30" s="15">
        <v>17.13</v>
      </c>
      <c r="M30" s="14"/>
      <c r="N30" s="15">
        <v>6.91</v>
      </c>
      <c r="O30" s="15">
        <v>2.08</v>
      </c>
      <c r="P30" s="14"/>
      <c r="Q30" s="15">
        <v>4.1500000000000004</v>
      </c>
      <c r="R30" s="15">
        <v>1.56</v>
      </c>
    </row>
    <row r="31" spans="1:18" ht="16.5" hidden="1" customHeight="1" x14ac:dyDescent="0.25">
      <c r="A31" s="8" t="s">
        <v>86</v>
      </c>
      <c r="B31" s="9" t="s">
        <v>87</v>
      </c>
      <c r="C31" s="19">
        <v>7</v>
      </c>
      <c r="D31" s="17"/>
      <c r="E31" s="17"/>
      <c r="F31" s="15">
        <v>4.08</v>
      </c>
      <c r="G31" s="17"/>
      <c r="H31" s="17"/>
      <c r="I31" s="15">
        <v>4.37</v>
      </c>
      <c r="J31" s="15">
        <v>6.22</v>
      </c>
      <c r="K31" s="17"/>
      <c r="L31" s="15">
        <v>6.33</v>
      </c>
      <c r="M31" s="17"/>
      <c r="N31" s="17"/>
      <c r="O31" s="15">
        <v>5.16</v>
      </c>
      <c r="P31" s="17"/>
      <c r="Q31" s="15">
        <v>4.67</v>
      </c>
      <c r="R31" s="15">
        <v>1.28</v>
      </c>
    </row>
    <row r="32" spans="1:18" ht="16.5" hidden="1" customHeight="1" x14ac:dyDescent="0.25">
      <c r="A32" s="2" t="s">
        <v>88</v>
      </c>
      <c r="B32" s="3" t="s">
        <v>89</v>
      </c>
      <c r="C32" s="18">
        <v>7</v>
      </c>
      <c r="D32" s="14"/>
      <c r="E32" s="14"/>
      <c r="F32" s="14"/>
      <c r="G32" s="15">
        <v>13.04</v>
      </c>
      <c r="H32" s="14"/>
      <c r="I32" s="14"/>
      <c r="J32" s="15">
        <v>5.76</v>
      </c>
      <c r="K32" s="15">
        <v>3.79</v>
      </c>
      <c r="L32" s="14"/>
      <c r="M32" s="14"/>
      <c r="N32" s="15">
        <v>5.28</v>
      </c>
      <c r="O32" s="14"/>
      <c r="P32" s="15">
        <v>8.34</v>
      </c>
      <c r="Q32" s="15">
        <v>9.02</v>
      </c>
      <c r="R32" s="15">
        <v>7.98</v>
      </c>
    </row>
    <row r="33" spans="1:18" ht="16.5" hidden="1" customHeight="1" x14ac:dyDescent="0.25">
      <c r="A33" s="8" t="s">
        <v>90</v>
      </c>
      <c r="B33" s="9" t="s">
        <v>91</v>
      </c>
      <c r="C33" s="19">
        <v>7</v>
      </c>
      <c r="D33" s="17"/>
      <c r="E33" s="17"/>
      <c r="F33" s="15">
        <v>16.899999999999999</v>
      </c>
      <c r="G33" s="17"/>
      <c r="H33" s="17"/>
      <c r="I33" s="17"/>
      <c r="J33" s="15">
        <v>0.99</v>
      </c>
      <c r="K33" s="15">
        <v>2.0699999999999998</v>
      </c>
      <c r="L33" s="17"/>
      <c r="M33" s="17"/>
      <c r="N33" s="15">
        <v>3.35</v>
      </c>
      <c r="O33" s="17"/>
      <c r="P33" s="15">
        <v>7.94</v>
      </c>
      <c r="Q33" s="15">
        <v>4.2</v>
      </c>
      <c r="R33" s="15">
        <v>3.09</v>
      </c>
    </row>
    <row r="34" spans="1:18" ht="16.5" hidden="1" customHeight="1" x14ac:dyDescent="0.25">
      <c r="A34" s="2" t="s">
        <v>92</v>
      </c>
      <c r="B34" s="3" t="s">
        <v>93</v>
      </c>
      <c r="C34" s="18">
        <v>7</v>
      </c>
      <c r="D34" s="14"/>
      <c r="E34" s="14"/>
      <c r="F34" s="15">
        <v>4.63</v>
      </c>
      <c r="G34" s="14"/>
      <c r="H34" s="14"/>
      <c r="I34" s="14"/>
      <c r="J34" s="15">
        <v>2.37</v>
      </c>
      <c r="K34" s="15">
        <v>1.37</v>
      </c>
      <c r="L34" s="14"/>
      <c r="M34" s="14"/>
      <c r="N34" s="15">
        <v>2.41</v>
      </c>
      <c r="O34" s="15">
        <v>0.48</v>
      </c>
      <c r="P34" s="15">
        <v>1.52</v>
      </c>
      <c r="Q34" s="14"/>
      <c r="R34" s="15">
        <v>1.88</v>
      </c>
    </row>
    <row r="35" spans="1:18" ht="16.5" hidden="1" customHeight="1" x14ac:dyDescent="0.25">
      <c r="A35" s="8" t="s">
        <v>94</v>
      </c>
      <c r="B35" s="9" t="s">
        <v>95</v>
      </c>
      <c r="C35" s="19">
        <v>6</v>
      </c>
      <c r="D35" s="17"/>
      <c r="E35" s="17"/>
      <c r="F35" s="17"/>
      <c r="G35" s="17"/>
      <c r="H35" s="17"/>
      <c r="I35" s="17"/>
      <c r="J35" s="15">
        <v>3.12</v>
      </c>
      <c r="K35" s="15">
        <v>2.0699999999999998</v>
      </c>
      <c r="L35" s="15">
        <v>12.9</v>
      </c>
      <c r="M35" s="17"/>
      <c r="N35" s="17"/>
      <c r="O35" s="15">
        <v>3.72</v>
      </c>
      <c r="P35" s="17"/>
      <c r="Q35" s="15">
        <v>4.5599999999999996</v>
      </c>
      <c r="R35" s="15">
        <v>6.74</v>
      </c>
    </row>
    <row r="36" spans="1:18" ht="16.5" hidden="1" customHeight="1" x14ac:dyDescent="0.25">
      <c r="A36" s="2" t="s">
        <v>96</v>
      </c>
      <c r="B36" s="3" t="s">
        <v>97</v>
      </c>
      <c r="C36" s="18">
        <v>6</v>
      </c>
      <c r="D36" s="14"/>
      <c r="E36" s="14"/>
      <c r="F36" s="14"/>
      <c r="G36" s="14"/>
      <c r="H36" s="14"/>
      <c r="I36" s="15">
        <v>2.63</v>
      </c>
      <c r="J36" s="15">
        <v>2.13</v>
      </c>
      <c r="K36" s="15">
        <v>1.72</v>
      </c>
      <c r="L36" s="15">
        <v>11.25</v>
      </c>
      <c r="M36" s="15">
        <v>4.96</v>
      </c>
      <c r="N36" s="14"/>
      <c r="O36" s="14"/>
      <c r="P36" s="14"/>
      <c r="Q36" s="15">
        <v>4.45</v>
      </c>
      <c r="R36" s="14"/>
    </row>
    <row r="37" spans="1:18" ht="16.5" hidden="1" customHeight="1" x14ac:dyDescent="0.25">
      <c r="A37" s="8" t="s">
        <v>98</v>
      </c>
      <c r="B37" s="9" t="s">
        <v>99</v>
      </c>
      <c r="C37" s="19">
        <v>6</v>
      </c>
      <c r="D37" s="17"/>
      <c r="E37" s="17"/>
      <c r="F37" s="17"/>
      <c r="G37" s="17"/>
      <c r="H37" s="17"/>
      <c r="I37" s="15">
        <v>1.17</v>
      </c>
      <c r="J37" s="15">
        <v>3.89</v>
      </c>
      <c r="K37" s="15">
        <v>1.26</v>
      </c>
      <c r="L37" s="15">
        <v>9.73</v>
      </c>
      <c r="M37" s="17"/>
      <c r="N37" s="17"/>
      <c r="O37" s="15">
        <v>2.04</v>
      </c>
      <c r="P37" s="15">
        <v>1.07</v>
      </c>
      <c r="Q37" s="17"/>
      <c r="R37" s="17"/>
    </row>
    <row r="38" spans="1:18" ht="16.5" hidden="1" customHeight="1" x14ac:dyDescent="0.25">
      <c r="A38" s="2" t="s">
        <v>100</v>
      </c>
      <c r="B38" s="3" t="s">
        <v>101</v>
      </c>
      <c r="C38" s="18">
        <v>6</v>
      </c>
      <c r="D38" s="14"/>
      <c r="E38" s="14"/>
      <c r="F38" s="15">
        <v>5.74</v>
      </c>
      <c r="G38" s="15">
        <v>6.28</v>
      </c>
      <c r="H38" s="14"/>
      <c r="I38" s="14"/>
      <c r="J38" s="14"/>
      <c r="K38" s="14"/>
      <c r="L38" s="14"/>
      <c r="M38" s="15">
        <v>3.29</v>
      </c>
      <c r="N38" s="14"/>
      <c r="O38" s="14"/>
      <c r="P38" s="15">
        <v>4.5</v>
      </c>
      <c r="Q38" s="15">
        <v>4.34</v>
      </c>
      <c r="R38" s="15">
        <v>1.85</v>
      </c>
    </row>
    <row r="39" spans="1:18" ht="16.5" hidden="1" customHeight="1" x14ac:dyDescent="0.25">
      <c r="A39" s="8" t="s">
        <v>102</v>
      </c>
      <c r="B39" s="9" t="s">
        <v>103</v>
      </c>
      <c r="C39" s="19">
        <v>6</v>
      </c>
      <c r="D39" s="17"/>
      <c r="E39" s="15">
        <v>5.81</v>
      </c>
      <c r="F39" s="17"/>
      <c r="G39" s="17"/>
      <c r="H39" s="17"/>
      <c r="I39" s="15">
        <v>6.22</v>
      </c>
      <c r="J39" s="15">
        <v>3</v>
      </c>
      <c r="K39" s="15">
        <v>0.98</v>
      </c>
      <c r="L39" s="17"/>
      <c r="M39" s="17"/>
      <c r="N39" s="15">
        <v>1.8</v>
      </c>
      <c r="O39" s="17"/>
      <c r="P39" s="15">
        <v>1.71</v>
      </c>
      <c r="Q39" s="17"/>
      <c r="R39" s="17"/>
    </row>
    <row r="40" spans="1:18" ht="16.5" hidden="1" customHeight="1" x14ac:dyDescent="0.25">
      <c r="A40" s="2" t="s">
        <v>104</v>
      </c>
      <c r="B40" s="3" t="s">
        <v>105</v>
      </c>
      <c r="C40" s="18">
        <v>6</v>
      </c>
      <c r="D40" s="14"/>
      <c r="E40" s="14"/>
      <c r="F40" s="15">
        <v>3.7</v>
      </c>
      <c r="G40" s="14"/>
      <c r="H40" s="14"/>
      <c r="I40" s="14"/>
      <c r="J40" s="15">
        <v>1.71</v>
      </c>
      <c r="K40" s="15">
        <v>1.54</v>
      </c>
      <c r="L40" s="14"/>
      <c r="M40" s="14"/>
      <c r="N40" s="15">
        <v>1.74</v>
      </c>
      <c r="O40" s="15">
        <v>0.62</v>
      </c>
      <c r="P40" s="14"/>
      <c r="Q40" s="15">
        <v>4.47</v>
      </c>
      <c r="R40" s="14"/>
    </row>
    <row r="41" spans="1:18" ht="16.5" hidden="1" customHeight="1" x14ac:dyDescent="0.25">
      <c r="A41" s="8" t="s">
        <v>106</v>
      </c>
      <c r="B41" s="9" t="s">
        <v>107</v>
      </c>
      <c r="C41" s="19">
        <v>6</v>
      </c>
      <c r="D41" s="17"/>
      <c r="E41" s="17"/>
      <c r="F41" s="15">
        <v>2.99</v>
      </c>
      <c r="G41" s="15">
        <v>2.14</v>
      </c>
      <c r="H41" s="17"/>
      <c r="I41" s="17"/>
      <c r="J41" s="15">
        <v>1.62</v>
      </c>
      <c r="K41" s="15">
        <v>1.42</v>
      </c>
      <c r="L41" s="17"/>
      <c r="M41" s="17"/>
      <c r="N41" s="17"/>
      <c r="O41" s="17"/>
      <c r="P41" s="17"/>
      <c r="Q41" s="15">
        <v>2.1800000000000002</v>
      </c>
      <c r="R41" s="15">
        <v>1.17</v>
      </c>
    </row>
    <row r="42" spans="1:18" ht="16.5" hidden="1" customHeight="1" x14ac:dyDescent="0.25">
      <c r="A42" s="2" t="s">
        <v>108</v>
      </c>
      <c r="B42" s="3" t="s">
        <v>109</v>
      </c>
      <c r="C42" s="20">
        <v>5</v>
      </c>
      <c r="D42" s="14"/>
      <c r="E42" s="14"/>
      <c r="F42" s="14"/>
      <c r="G42" s="14"/>
      <c r="H42" s="14"/>
      <c r="I42" s="14"/>
      <c r="J42" s="15">
        <v>2.08</v>
      </c>
      <c r="K42" s="15">
        <v>1.54</v>
      </c>
      <c r="L42" s="15">
        <v>7.14</v>
      </c>
      <c r="M42" s="14"/>
      <c r="N42" s="15">
        <v>1.32</v>
      </c>
      <c r="O42" s="14"/>
      <c r="P42" s="15">
        <v>4.76</v>
      </c>
      <c r="Q42" s="14"/>
      <c r="R42" s="14"/>
    </row>
    <row r="43" spans="1:18" ht="16.5" hidden="1" customHeight="1" x14ac:dyDescent="0.25">
      <c r="A43" s="8" t="s">
        <v>110</v>
      </c>
      <c r="B43" s="9" t="s">
        <v>111</v>
      </c>
      <c r="C43" s="21">
        <v>5</v>
      </c>
      <c r="D43" s="17"/>
      <c r="E43" s="17"/>
      <c r="F43" s="17"/>
      <c r="G43" s="15">
        <v>2.54</v>
      </c>
      <c r="H43" s="17"/>
      <c r="I43" s="17"/>
      <c r="J43" s="17"/>
      <c r="K43" s="15">
        <v>1.59</v>
      </c>
      <c r="L43" s="15">
        <v>2.06</v>
      </c>
      <c r="M43" s="17"/>
      <c r="N43" s="15">
        <v>2.09</v>
      </c>
      <c r="O43" s="17"/>
      <c r="P43" s="17"/>
      <c r="Q43" s="17"/>
      <c r="R43" s="15">
        <v>2.5499999999999998</v>
      </c>
    </row>
    <row r="44" spans="1:18" ht="16.5" hidden="1" customHeight="1" x14ac:dyDescent="0.25">
      <c r="A44" s="2" t="s">
        <v>112</v>
      </c>
      <c r="B44" s="3" t="s">
        <v>113</v>
      </c>
      <c r="C44" s="20">
        <v>4</v>
      </c>
      <c r="D44" s="14"/>
      <c r="E44" s="14"/>
      <c r="F44" s="14"/>
      <c r="G44" s="14"/>
      <c r="H44" s="14"/>
      <c r="I44" s="14"/>
      <c r="J44" s="15">
        <v>1.2</v>
      </c>
      <c r="K44" s="15">
        <v>0.63</v>
      </c>
      <c r="L44" s="15">
        <v>1.1299999999999999</v>
      </c>
      <c r="M44" s="15">
        <v>8.17</v>
      </c>
      <c r="N44" s="14"/>
      <c r="O44" s="14"/>
      <c r="P44" s="14"/>
      <c r="Q44" s="14"/>
      <c r="R44" s="14"/>
    </row>
    <row r="45" spans="1:18" ht="16.5" hidden="1" customHeight="1" x14ac:dyDescent="0.25">
      <c r="A45" s="8" t="s">
        <v>114</v>
      </c>
      <c r="B45" s="9" t="s">
        <v>115</v>
      </c>
      <c r="C45" s="21">
        <v>4</v>
      </c>
      <c r="D45" s="17"/>
      <c r="E45" s="17"/>
      <c r="F45" s="17"/>
      <c r="G45" s="17"/>
      <c r="H45" s="17"/>
      <c r="I45" s="17"/>
      <c r="J45" s="17"/>
      <c r="K45" s="15">
        <v>0.95</v>
      </c>
      <c r="L45" s="17"/>
      <c r="M45" s="17"/>
      <c r="N45" s="15">
        <v>4.55</v>
      </c>
      <c r="O45" s="17"/>
      <c r="P45" s="15">
        <v>6.48</v>
      </c>
      <c r="Q45" s="17"/>
      <c r="R45" s="15">
        <v>3.14</v>
      </c>
    </row>
    <row r="46" spans="1:18" ht="16.5" hidden="1" customHeight="1" x14ac:dyDescent="0.25">
      <c r="A46" s="2" t="s">
        <v>116</v>
      </c>
      <c r="B46" s="3" t="s">
        <v>117</v>
      </c>
      <c r="C46" s="20">
        <v>4</v>
      </c>
      <c r="D46" s="14"/>
      <c r="E46" s="14"/>
      <c r="F46" s="14"/>
      <c r="G46" s="14"/>
      <c r="H46" s="14"/>
      <c r="I46" s="14"/>
      <c r="J46" s="15">
        <v>1.49</v>
      </c>
      <c r="K46" s="15">
        <v>1.1100000000000001</v>
      </c>
      <c r="L46" s="14"/>
      <c r="M46" s="14"/>
      <c r="N46" s="15">
        <v>3.04</v>
      </c>
      <c r="O46" s="14"/>
      <c r="P46" s="15">
        <v>2.16</v>
      </c>
      <c r="Q46" s="14"/>
      <c r="R46" s="14"/>
    </row>
    <row r="47" spans="1:18" ht="16.5" hidden="1" customHeight="1" x14ac:dyDescent="0.25">
      <c r="A47" s="8" t="s">
        <v>118</v>
      </c>
      <c r="B47" s="9" t="s">
        <v>119</v>
      </c>
      <c r="C47" s="21">
        <v>4</v>
      </c>
      <c r="D47" s="17"/>
      <c r="E47" s="15">
        <v>4.12</v>
      </c>
      <c r="F47" s="17"/>
      <c r="G47" s="17"/>
      <c r="H47" s="17"/>
      <c r="I47" s="15">
        <v>3.53</v>
      </c>
      <c r="J47" s="17"/>
      <c r="K47" s="15">
        <v>0.6</v>
      </c>
      <c r="L47" s="17"/>
      <c r="M47" s="17"/>
      <c r="N47" s="17"/>
      <c r="O47" s="17"/>
      <c r="P47" s="15">
        <v>1.83</v>
      </c>
      <c r="Q47" s="17"/>
      <c r="R47" s="17"/>
    </row>
    <row r="48" spans="1:18" ht="16.5" hidden="1" customHeight="1" x14ac:dyDescent="0.25">
      <c r="A48" s="2" t="s">
        <v>120</v>
      </c>
      <c r="B48" s="3" t="s">
        <v>121</v>
      </c>
      <c r="C48" s="20">
        <v>4</v>
      </c>
      <c r="D48" s="14"/>
      <c r="E48" s="14"/>
      <c r="F48" s="15">
        <v>4.24</v>
      </c>
      <c r="G48" s="15">
        <v>5.61</v>
      </c>
      <c r="H48" s="14"/>
      <c r="I48" s="14"/>
      <c r="J48" s="14"/>
      <c r="K48" s="15">
        <v>0.22</v>
      </c>
      <c r="L48" s="14"/>
      <c r="M48" s="14"/>
      <c r="N48" s="14"/>
      <c r="O48" s="14"/>
      <c r="P48" s="14"/>
      <c r="Q48" s="14"/>
      <c r="R48" s="15">
        <v>3.83</v>
      </c>
    </row>
    <row r="49" spans="1:18" ht="16.5" hidden="1" customHeight="1" x14ac:dyDescent="0.25">
      <c r="A49" s="8" t="s">
        <v>122</v>
      </c>
      <c r="B49" s="9" t="s">
        <v>123</v>
      </c>
      <c r="C49" s="21">
        <v>4</v>
      </c>
      <c r="D49" s="17"/>
      <c r="E49" s="17"/>
      <c r="F49" s="17"/>
      <c r="G49" s="15">
        <v>2.62</v>
      </c>
      <c r="H49" s="15">
        <v>3.07</v>
      </c>
      <c r="I49" s="17"/>
      <c r="J49" s="15">
        <v>0.6</v>
      </c>
      <c r="K49" s="15">
        <v>0.31</v>
      </c>
      <c r="L49" s="17"/>
      <c r="M49" s="17"/>
      <c r="N49" s="17"/>
      <c r="O49" s="17"/>
      <c r="P49" s="17"/>
      <c r="Q49" s="17"/>
      <c r="R49" s="17"/>
    </row>
    <row r="50" spans="1:18" ht="16.5" hidden="1" customHeight="1" x14ac:dyDescent="0.25">
      <c r="A50" s="2" t="s">
        <v>124</v>
      </c>
      <c r="B50" s="3" t="s">
        <v>125</v>
      </c>
      <c r="C50" s="2">
        <v>3</v>
      </c>
      <c r="D50" s="14"/>
      <c r="E50" s="14"/>
      <c r="F50" s="14"/>
      <c r="G50" s="14"/>
      <c r="H50" s="14"/>
      <c r="I50" s="14"/>
      <c r="J50" s="15">
        <v>3.71</v>
      </c>
      <c r="K50" s="15">
        <v>1.26</v>
      </c>
      <c r="L50" s="15">
        <v>1.5</v>
      </c>
      <c r="M50" s="14"/>
      <c r="N50" s="14"/>
      <c r="O50" s="14"/>
      <c r="P50" s="14"/>
      <c r="Q50" s="14"/>
      <c r="R50" s="14"/>
    </row>
    <row r="51" spans="1:18" ht="16.5" hidden="1" customHeight="1" x14ac:dyDescent="0.25">
      <c r="A51" s="8" t="s">
        <v>126</v>
      </c>
      <c r="B51" s="9" t="s">
        <v>127</v>
      </c>
      <c r="C51" s="8">
        <v>3</v>
      </c>
      <c r="D51" s="17"/>
      <c r="E51" s="17"/>
      <c r="F51" s="17"/>
      <c r="G51" s="17"/>
      <c r="H51" s="17"/>
      <c r="I51" s="17"/>
      <c r="J51" s="15">
        <v>1.49</v>
      </c>
      <c r="K51" s="15">
        <v>1.66</v>
      </c>
      <c r="L51" s="17"/>
      <c r="M51" s="15">
        <v>8.42</v>
      </c>
      <c r="N51" s="17"/>
      <c r="O51" s="17"/>
      <c r="P51" s="17"/>
      <c r="Q51" s="17"/>
      <c r="R51" s="17"/>
    </row>
    <row r="52" spans="1:18" ht="16.5" hidden="1" customHeight="1" x14ac:dyDescent="0.25">
      <c r="A52" s="2" t="s">
        <v>128</v>
      </c>
      <c r="B52" s="3" t="s">
        <v>129</v>
      </c>
      <c r="C52" s="2">
        <v>3</v>
      </c>
      <c r="D52" s="14"/>
      <c r="E52" s="14"/>
      <c r="F52" s="14"/>
      <c r="G52" s="14"/>
      <c r="H52" s="14"/>
      <c r="I52" s="14"/>
      <c r="J52" s="14"/>
      <c r="K52" s="15">
        <v>0.84</v>
      </c>
      <c r="L52" s="14"/>
      <c r="M52" s="15">
        <v>3.57</v>
      </c>
      <c r="N52" s="14"/>
      <c r="O52" s="14"/>
      <c r="P52" s="14"/>
      <c r="Q52" s="14"/>
      <c r="R52" s="15">
        <v>2.64</v>
      </c>
    </row>
    <row r="53" spans="1:18" ht="16.5" hidden="1" customHeight="1" x14ac:dyDescent="0.25">
      <c r="A53" s="8" t="s">
        <v>130</v>
      </c>
      <c r="B53" s="9" t="s">
        <v>131</v>
      </c>
      <c r="C53" s="8">
        <v>3</v>
      </c>
      <c r="D53" s="17"/>
      <c r="E53" s="17"/>
      <c r="F53" s="17"/>
      <c r="G53" s="17"/>
      <c r="H53" s="17"/>
      <c r="I53" s="17"/>
      <c r="J53" s="15">
        <v>1.96</v>
      </c>
      <c r="K53" s="15">
        <v>0.39</v>
      </c>
      <c r="L53" s="17"/>
      <c r="M53" s="15">
        <v>3.31</v>
      </c>
      <c r="N53" s="17"/>
      <c r="O53" s="17"/>
      <c r="P53" s="17"/>
      <c r="Q53" s="17"/>
      <c r="R53" s="17"/>
    </row>
    <row r="54" spans="1:18" ht="16.5" hidden="1" customHeight="1" x14ac:dyDescent="0.25">
      <c r="A54" s="2" t="s">
        <v>132</v>
      </c>
      <c r="B54" s="3" t="s">
        <v>133</v>
      </c>
      <c r="C54" s="2">
        <v>3</v>
      </c>
      <c r="D54" s="14"/>
      <c r="E54" s="14"/>
      <c r="F54" s="15">
        <v>3.08</v>
      </c>
      <c r="G54" s="15">
        <v>3.06</v>
      </c>
      <c r="H54" s="14"/>
      <c r="I54" s="14"/>
      <c r="J54" s="14"/>
      <c r="K54" s="14"/>
      <c r="L54" s="14"/>
      <c r="M54" s="14"/>
      <c r="N54" s="15">
        <v>3.77</v>
      </c>
      <c r="O54" s="14"/>
      <c r="P54" s="14"/>
      <c r="Q54" s="14"/>
      <c r="R54" s="14"/>
    </row>
    <row r="55" spans="1:18" ht="16.5" hidden="1" customHeight="1" x14ac:dyDescent="0.25">
      <c r="A55" s="8" t="s">
        <v>134</v>
      </c>
      <c r="B55" s="9" t="s">
        <v>135</v>
      </c>
      <c r="C55" s="8">
        <v>3</v>
      </c>
      <c r="D55" s="17"/>
      <c r="E55" s="17"/>
      <c r="F55" s="17"/>
      <c r="G55" s="17"/>
      <c r="H55" s="17"/>
      <c r="I55" s="17"/>
      <c r="J55" s="15">
        <v>1.62</v>
      </c>
      <c r="K55" s="15">
        <v>1.2</v>
      </c>
      <c r="L55" s="17"/>
      <c r="M55" s="17"/>
      <c r="N55" s="15">
        <v>2.35</v>
      </c>
      <c r="O55" s="17"/>
      <c r="P55" s="17"/>
      <c r="Q55" s="17"/>
      <c r="R55" s="17"/>
    </row>
    <row r="56" spans="1:18" ht="16.5" hidden="1" customHeight="1" x14ac:dyDescent="0.25">
      <c r="A56" s="2" t="s">
        <v>136</v>
      </c>
      <c r="B56" s="3" t="s">
        <v>137</v>
      </c>
      <c r="C56" s="2">
        <v>3</v>
      </c>
      <c r="D56" s="14"/>
      <c r="E56" s="14"/>
      <c r="F56" s="14"/>
      <c r="G56" s="14"/>
      <c r="H56" s="14"/>
      <c r="I56" s="15">
        <v>1.08</v>
      </c>
      <c r="J56" s="15">
        <v>0.61</v>
      </c>
      <c r="K56" s="14"/>
      <c r="L56" s="14"/>
      <c r="M56" s="14"/>
      <c r="N56" s="15">
        <v>2.34</v>
      </c>
      <c r="O56" s="14"/>
      <c r="P56" s="14"/>
      <c r="Q56" s="14"/>
      <c r="R56" s="14"/>
    </row>
    <row r="57" spans="1:18" ht="16.5" hidden="1" customHeight="1" x14ac:dyDescent="0.25">
      <c r="A57" s="8" t="s">
        <v>138</v>
      </c>
      <c r="B57" s="9" t="s">
        <v>139</v>
      </c>
      <c r="C57" s="8">
        <v>3</v>
      </c>
      <c r="D57" s="17"/>
      <c r="E57" s="15">
        <v>11.07</v>
      </c>
      <c r="F57" s="17"/>
      <c r="G57" s="17"/>
      <c r="H57" s="17"/>
      <c r="I57" s="15">
        <v>5.27</v>
      </c>
      <c r="J57" s="17"/>
      <c r="K57" s="17"/>
      <c r="L57" s="17"/>
      <c r="M57" s="17"/>
      <c r="N57" s="17"/>
      <c r="O57" s="15">
        <v>6.73</v>
      </c>
      <c r="P57" s="17"/>
      <c r="Q57" s="17"/>
      <c r="R57" s="17"/>
    </row>
    <row r="58" spans="1:18" ht="16.5" hidden="1" customHeight="1" x14ac:dyDescent="0.25">
      <c r="A58" s="2" t="s">
        <v>140</v>
      </c>
      <c r="B58" s="3" t="s">
        <v>141</v>
      </c>
      <c r="C58" s="2">
        <v>3</v>
      </c>
      <c r="D58" s="14"/>
      <c r="E58" s="14"/>
      <c r="F58" s="14"/>
      <c r="G58" s="14"/>
      <c r="H58" s="14"/>
      <c r="I58" s="14"/>
      <c r="J58" s="14"/>
      <c r="K58" s="15">
        <v>1.1399999999999999</v>
      </c>
      <c r="L58" s="14"/>
      <c r="M58" s="14"/>
      <c r="N58" s="14"/>
      <c r="O58" s="15">
        <v>4</v>
      </c>
      <c r="P58" s="15">
        <v>2.86</v>
      </c>
      <c r="Q58" s="14"/>
      <c r="R58" s="14"/>
    </row>
    <row r="59" spans="1:18" ht="16.5" hidden="1" customHeight="1" x14ac:dyDescent="0.25">
      <c r="A59" s="8" t="s">
        <v>142</v>
      </c>
      <c r="B59" s="9" t="s">
        <v>143</v>
      </c>
      <c r="C59" s="8">
        <v>3</v>
      </c>
      <c r="D59" s="17"/>
      <c r="E59" s="15">
        <v>9.41</v>
      </c>
      <c r="F59" s="17"/>
      <c r="G59" s="17"/>
      <c r="H59" s="17"/>
      <c r="I59" s="15">
        <v>4.88</v>
      </c>
      <c r="J59" s="17"/>
      <c r="K59" s="17"/>
      <c r="L59" s="17"/>
      <c r="M59" s="17"/>
      <c r="N59" s="17"/>
      <c r="O59" s="15">
        <v>2.96</v>
      </c>
      <c r="P59" s="17"/>
      <c r="Q59" s="17"/>
      <c r="R59" s="17"/>
    </row>
    <row r="60" spans="1:18" ht="16.5" hidden="1" customHeight="1" x14ac:dyDescent="0.25">
      <c r="A60" s="2" t="s">
        <v>144</v>
      </c>
      <c r="B60" s="3" t="s">
        <v>145</v>
      </c>
      <c r="C60" s="2">
        <v>3</v>
      </c>
      <c r="D60" s="14"/>
      <c r="E60" s="14"/>
      <c r="F60" s="14"/>
      <c r="G60" s="14"/>
      <c r="H60" s="14"/>
      <c r="I60" s="14"/>
      <c r="J60" s="14"/>
      <c r="K60" s="15">
        <v>0.63</v>
      </c>
      <c r="L60" s="14"/>
      <c r="M60" s="14"/>
      <c r="N60" s="14"/>
      <c r="O60" s="15">
        <v>0.63</v>
      </c>
      <c r="P60" s="14"/>
      <c r="Q60" s="14"/>
      <c r="R60" s="15">
        <v>3.06</v>
      </c>
    </row>
    <row r="61" spans="1:18" ht="16.5" hidden="1" customHeight="1" x14ac:dyDescent="0.25">
      <c r="A61" s="8" t="s">
        <v>146</v>
      </c>
      <c r="B61" s="9" t="s">
        <v>147</v>
      </c>
      <c r="C61" s="8">
        <v>3</v>
      </c>
      <c r="D61" s="17"/>
      <c r="E61" s="15">
        <v>3.92</v>
      </c>
      <c r="F61" s="17"/>
      <c r="G61" s="17"/>
      <c r="H61" s="17"/>
      <c r="I61" s="15">
        <v>4.05</v>
      </c>
      <c r="J61" s="17"/>
      <c r="K61" s="17"/>
      <c r="L61" s="17"/>
      <c r="M61" s="17"/>
      <c r="N61" s="17"/>
      <c r="O61" s="15">
        <v>0.54</v>
      </c>
      <c r="P61" s="17"/>
      <c r="Q61" s="17"/>
      <c r="R61" s="17"/>
    </row>
    <row r="62" spans="1:18" ht="16.5" hidden="1" customHeight="1" x14ac:dyDescent="0.25">
      <c r="A62" s="2" t="s">
        <v>148</v>
      </c>
      <c r="B62" s="3" t="s">
        <v>149</v>
      </c>
      <c r="C62" s="2">
        <v>3</v>
      </c>
      <c r="D62" s="14"/>
      <c r="E62" s="14"/>
      <c r="F62" s="14"/>
      <c r="G62" s="14"/>
      <c r="H62" s="14"/>
      <c r="I62" s="14"/>
      <c r="J62" s="15">
        <v>1.45</v>
      </c>
      <c r="K62" s="15">
        <v>1.1499999999999999</v>
      </c>
      <c r="L62" s="14"/>
      <c r="M62" s="14"/>
      <c r="N62" s="14"/>
      <c r="O62" s="14"/>
      <c r="P62" s="14"/>
      <c r="Q62" s="14"/>
      <c r="R62" s="15">
        <v>4.7</v>
      </c>
    </row>
    <row r="63" spans="1:18" ht="16.5" hidden="1" customHeight="1" x14ac:dyDescent="0.25">
      <c r="A63" s="8" t="s">
        <v>150</v>
      </c>
      <c r="B63" s="9" t="s">
        <v>151</v>
      </c>
      <c r="C63" s="8">
        <v>3</v>
      </c>
      <c r="D63" s="17"/>
      <c r="E63" s="17"/>
      <c r="F63" s="17"/>
      <c r="G63" s="15">
        <v>3.44</v>
      </c>
      <c r="H63" s="17"/>
      <c r="I63" s="17"/>
      <c r="J63" s="15">
        <v>3.83</v>
      </c>
      <c r="K63" s="17"/>
      <c r="L63" s="17"/>
      <c r="M63" s="17"/>
      <c r="N63" s="17"/>
      <c r="O63" s="17"/>
      <c r="P63" s="17"/>
      <c r="Q63" s="17"/>
      <c r="R63" s="15">
        <v>2.38</v>
      </c>
    </row>
    <row r="64" spans="1:18" ht="16.5" hidden="1" customHeight="1" x14ac:dyDescent="0.25">
      <c r="A64" s="2" t="s">
        <v>152</v>
      </c>
      <c r="B64" s="3" t="s">
        <v>153</v>
      </c>
      <c r="C64" s="2">
        <v>3</v>
      </c>
      <c r="D64" s="14"/>
      <c r="E64" s="15">
        <v>10.95</v>
      </c>
      <c r="F64" s="14"/>
      <c r="G64" s="14"/>
      <c r="H64" s="14"/>
      <c r="I64" s="15">
        <v>5.21</v>
      </c>
      <c r="J64" s="14"/>
      <c r="K64" s="15">
        <v>1.23</v>
      </c>
      <c r="L64" s="14"/>
      <c r="M64" s="14"/>
      <c r="N64" s="14"/>
      <c r="O64" s="14"/>
      <c r="P64" s="14"/>
      <c r="Q64" s="14"/>
      <c r="R64" s="14"/>
    </row>
    <row r="65" spans="1:18" ht="16.5" hidden="1" customHeight="1" x14ac:dyDescent="0.25">
      <c r="A65" s="8" t="s">
        <v>154</v>
      </c>
      <c r="B65" s="9" t="s">
        <v>155</v>
      </c>
      <c r="C65" s="8">
        <v>3</v>
      </c>
      <c r="D65" s="17"/>
      <c r="E65" s="15">
        <v>2.23</v>
      </c>
      <c r="F65" s="17"/>
      <c r="G65" s="17"/>
      <c r="H65" s="17"/>
      <c r="I65" s="15">
        <v>2.09</v>
      </c>
      <c r="J65" s="17"/>
      <c r="K65" s="15">
        <v>4.04</v>
      </c>
      <c r="L65" s="17"/>
      <c r="M65" s="17"/>
      <c r="N65" s="17"/>
      <c r="O65" s="17"/>
      <c r="P65" s="17"/>
      <c r="Q65" s="17"/>
      <c r="R65" s="17"/>
    </row>
    <row r="66" spans="1:18" ht="16.5" hidden="1" customHeight="1" x14ac:dyDescent="0.25">
      <c r="A66" s="2" t="s">
        <v>156</v>
      </c>
      <c r="B66" s="3" t="s">
        <v>157</v>
      </c>
      <c r="C66" s="2">
        <v>3</v>
      </c>
      <c r="D66" s="14"/>
      <c r="E66" s="14"/>
      <c r="F66" s="15">
        <v>3.64</v>
      </c>
      <c r="G66" s="14"/>
      <c r="H66" s="14"/>
      <c r="I66" s="14"/>
      <c r="J66" s="15">
        <v>0.49</v>
      </c>
      <c r="K66" s="15">
        <v>1.01</v>
      </c>
      <c r="L66" s="14"/>
      <c r="M66" s="14"/>
      <c r="N66" s="14"/>
      <c r="O66" s="14"/>
      <c r="P66" s="14"/>
      <c r="Q66" s="14"/>
      <c r="R66" s="14"/>
    </row>
    <row r="67" spans="1:18" ht="16.5" hidden="1" customHeight="1" x14ac:dyDescent="0.25">
      <c r="A67" s="8" t="s">
        <v>158</v>
      </c>
      <c r="B67" s="9" t="s">
        <v>159</v>
      </c>
      <c r="C67" s="8">
        <v>3</v>
      </c>
      <c r="D67" s="17"/>
      <c r="E67" s="17"/>
      <c r="F67" s="17"/>
      <c r="G67" s="17"/>
      <c r="H67" s="17"/>
      <c r="I67" s="15">
        <v>2.2999999999999998</v>
      </c>
      <c r="J67" s="15">
        <v>3.92</v>
      </c>
      <c r="K67" s="15">
        <v>1.98</v>
      </c>
      <c r="L67" s="17"/>
      <c r="M67" s="17"/>
      <c r="N67" s="17"/>
      <c r="O67" s="17"/>
      <c r="P67" s="17"/>
      <c r="Q67" s="17"/>
      <c r="R67" s="17"/>
    </row>
    <row r="68" spans="1:18" ht="16.5" hidden="1" customHeight="1" x14ac:dyDescent="0.25">
      <c r="A68" s="2" t="s">
        <v>160</v>
      </c>
      <c r="B68" s="3" t="s">
        <v>161</v>
      </c>
      <c r="C68" s="2">
        <v>2</v>
      </c>
      <c r="D68" s="14"/>
      <c r="E68" s="14"/>
      <c r="F68" s="14"/>
      <c r="G68" s="14"/>
      <c r="H68" s="14"/>
      <c r="I68" s="14"/>
      <c r="J68" s="14"/>
      <c r="K68" s="15">
        <v>0.84</v>
      </c>
      <c r="L68" s="15">
        <v>0.36</v>
      </c>
      <c r="M68" s="14"/>
      <c r="N68" s="14"/>
      <c r="O68" s="14"/>
      <c r="P68" s="14"/>
      <c r="Q68" s="14"/>
      <c r="R68" s="14"/>
    </row>
    <row r="69" spans="1:18" ht="16.5" hidden="1" customHeight="1" x14ac:dyDescent="0.25">
      <c r="A69" s="8" t="s">
        <v>162</v>
      </c>
      <c r="B69" s="9" t="s">
        <v>163</v>
      </c>
      <c r="C69" s="8">
        <v>2</v>
      </c>
      <c r="D69" s="17"/>
      <c r="E69" s="17"/>
      <c r="F69" s="17"/>
      <c r="G69" s="17"/>
      <c r="H69" s="17"/>
      <c r="I69" s="17"/>
      <c r="J69" s="17"/>
      <c r="K69" s="17"/>
      <c r="L69" s="17"/>
      <c r="M69" s="15">
        <v>8.6</v>
      </c>
      <c r="N69" s="17"/>
      <c r="O69" s="17"/>
      <c r="P69" s="15">
        <v>3.01</v>
      </c>
      <c r="Q69" s="17"/>
      <c r="R69" s="17"/>
    </row>
    <row r="70" spans="1:18" ht="16.5" hidden="1" customHeight="1" x14ac:dyDescent="0.25">
      <c r="A70" s="2" t="s">
        <v>164</v>
      </c>
      <c r="B70" s="3" t="s">
        <v>165</v>
      </c>
      <c r="C70" s="2">
        <v>2</v>
      </c>
      <c r="D70" s="14"/>
      <c r="E70" s="14"/>
      <c r="F70" s="14"/>
      <c r="G70" s="14"/>
      <c r="H70" s="15">
        <v>2.62</v>
      </c>
      <c r="I70" s="14"/>
      <c r="J70" s="14"/>
      <c r="K70" s="14"/>
      <c r="L70" s="14"/>
      <c r="M70" s="15">
        <v>4.84</v>
      </c>
      <c r="N70" s="14"/>
      <c r="O70" s="14"/>
      <c r="P70" s="14"/>
      <c r="Q70" s="14"/>
      <c r="R70" s="14"/>
    </row>
    <row r="71" spans="1:18" ht="16.5" hidden="1" customHeight="1" x14ac:dyDescent="0.25">
      <c r="A71" s="8" t="s">
        <v>166</v>
      </c>
      <c r="B71" s="9" t="s">
        <v>167</v>
      </c>
      <c r="C71" s="8">
        <v>2</v>
      </c>
      <c r="D71" s="17"/>
      <c r="E71" s="17"/>
      <c r="F71" s="17"/>
      <c r="G71" s="17"/>
      <c r="H71" s="17"/>
      <c r="I71" s="17"/>
      <c r="J71" s="17"/>
      <c r="K71" s="17"/>
      <c r="L71" s="17"/>
      <c r="M71" s="15">
        <v>4.76</v>
      </c>
      <c r="N71" s="17"/>
      <c r="O71" s="17"/>
      <c r="P71" s="17"/>
      <c r="Q71" s="17"/>
      <c r="R71" s="15">
        <v>1.89</v>
      </c>
    </row>
    <row r="72" spans="1:18" ht="16.5" hidden="1" customHeight="1" x14ac:dyDescent="0.25">
      <c r="A72" s="2" t="s">
        <v>168</v>
      </c>
      <c r="B72" s="3" t="s">
        <v>169</v>
      </c>
      <c r="C72" s="2">
        <v>2</v>
      </c>
      <c r="D72" s="14"/>
      <c r="E72" s="14"/>
      <c r="F72" s="14"/>
      <c r="G72" s="14"/>
      <c r="H72" s="14"/>
      <c r="I72" s="14"/>
      <c r="J72" s="15">
        <v>1.27</v>
      </c>
      <c r="K72" s="14"/>
      <c r="L72" s="14"/>
      <c r="M72" s="15">
        <v>4.08</v>
      </c>
      <c r="N72" s="14"/>
      <c r="O72" s="14"/>
      <c r="P72" s="14"/>
      <c r="Q72" s="14"/>
      <c r="R72" s="14"/>
    </row>
    <row r="73" spans="1:18" ht="16.5" hidden="1" customHeight="1" x14ac:dyDescent="0.25">
      <c r="A73" s="8" t="s">
        <v>170</v>
      </c>
      <c r="B73" s="9" t="s">
        <v>171</v>
      </c>
      <c r="C73" s="8">
        <v>2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5">
        <v>4.45</v>
      </c>
      <c r="O73" s="17"/>
      <c r="P73" s="15">
        <v>2.2200000000000002</v>
      </c>
      <c r="Q73" s="17"/>
      <c r="R73" s="17"/>
    </row>
    <row r="74" spans="1:18" ht="16.5" hidden="1" customHeight="1" x14ac:dyDescent="0.25">
      <c r="A74" s="2" t="s">
        <v>172</v>
      </c>
      <c r="B74" s="3" t="s">
        <v>173</v>
      </c>
      <c r="C74" s="2">
        <v>2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5">
        <v>2.6</v>
      </c>
      <c r="O74" s="14"/>
      <c r="P74" s="15">
        <v>3.29</v>
      </c>
      <c r="Q74" s="14"/>
      <c r="R74" s="14"/>
    </row>
    <row r="75" spans="1:18" ht="16.5" hidden="1" customHeight="1" x14ac:dyDescent="0.25">
      <c r="A75" s="8" t="s">
        <v>174</v>
      </c>
      <c r="B75" s="9" t="s">
        <v>175</v>
      </c>
      <c r="C75" s="8">
        <v>2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5">
        <v>1.86</v>
      </c>
      <c r="O75" s="17"/>
      <c r="P75" s="15">
        <v>0.66</v>
      </c>
      <c r="Q75" s="17"/>
      <c r="R75" s="17"/>
    </row>
    <row r="76" spans="1:18" ht="16.5" customHeight="1" x14ac:dyDescent="0.25">
      <c r="A76" s="2" t="s">
        <v>176</v>
      </c>
      <c r="B76" s="3" t="s">
        <v>177</v>
      </c>
      <c r="C76" s="2">
        <v>2</v>
      </c>
      <c r="D76" s="14"/>
      <c r="E76" s="14"/>
      <c r="F76" s="14"/>
      <c r="G76" s="14"/>
      <c r="H76" s="14"/>
      <c r="I76" s="14"/>
      <c r="J76" s="15">
        <v>6.01</v>
      </c>
      <c r="K76" s="14"/>
      <c r="L76" s="14"/>
      <c r="M76" s="14"/>
      <c r="N76" s="14"/>
      <c r="O76" s="15">
        <v>3.99</v>
      </c>
      <c r="P76" s="14"/>
      <c r="Q76" s="14"/>
      <c r="R76" s="14"/>
    </row>
    <row r="77" spans="1:18" ht="16.5" hidden="1" customHeight="1" x14ac:dyDescent="0.25">
      <c r="A77" s="8" t="s">
        <v>178</v>
      </c>
      <c r="B77" s="9" t="s">
        <v>179</v>
      </c>
      <c r="C77" s="8">
        <v>2</v>
      </c>
      <c r="D77" s="17"/>
      <c r="E77" s="17"/>
      <c r="F77" s="17"/>
      <c r="G77" s="15">
        <v>3.83</v>
      </c>
      <c r="H77" s="17"/>
      <c r="I77" s="17"/>
      <c r="J77" s="17"/>
      <c r="K77" s="17"/>
      <c r="L77" s="17"/>
      <c r="M77" s="17"/>
      <c r="N77" s="17"/>
      <c r="O77" s="17"/>
      <c r="P77" s="17"/>
      <c r="Q77" s="15">
        <v>1.33</v>
      </c>
      <c r="R77" s="17"/>
    </row>
    <row r="78" spans="1:18" ht="16.5" hidden="1" customHeight="1" x14ac:dyDescent="0.25">
      <c r="A78" s="2" t="s">
        <v>180</v>
      </c>
      <c r="B78" s="3" t="s">
        <v>181</v>
      </c>
      <c r="C78" s="2">
        <v>2</v>
      </c>
      <c r="D78" s="15">
        <v>100</v>
      </c>
      <c r="E78" s="14"/>
      <c r="F78" s="14"/>
      <c r="G78" s="14"/>
      <c r="H78" s="14"/>
      <c r="I78" s="14"/>
      <c r="J78" s="15">
        <v>1.56</v>
      </c>
      <c r="K78" s="14"/>
      <c r="L78" s="14"/>
      <c r="M78" s="14"/>
      <c r="N78" s="14"/>
      <c r="O78" s="14"/>
      <c r="P78" s="14"/>
      <c r="Q78" s="14"/>
      <c r="R78" s="14"/>
    </row>
    <row r="79" spans="1:18" ht="16.5" hidden="1" customHeight="1" x14ac:dyDescent="0.25">
      <c r="A79" s="8" t="s">
        <v>182</v>
      </c>
      <c r="B79" s="9" t="s">
        <v>183</v>
      </c>
      <c r="C79" s="8">
        <v>2</v>
      </c>
      <c r="D79" s="17"/>
      <c r="E79" s="15">
        <v>10.58</v>
      </c>
      <c r="F79" s="17"/>
      <c r="G79" s="17"/>
      <c r="H79" s="17"/>
      <c r="I79" s="15">
        <v>9.23</v>
      </c>
      <c r="J79" s="17"/>
      <c r="K79" s="17"/>
      <c r="L79" s="17"/>
      <c r="M79" s="17"/>
      <c r="N79" s="17"/>
      <c r="O79" s="17"/>
      <c r="P79" s="17"/>
      <c r="Q79" s="17"/>
      <c r="R79" s="17"/>
    </row>
    <row r="80" spans="1:18" ht="16.5" hidden="1" customHeight="1" x14ac:dyDescent="0.25">
      <c r="A80" s="2" t="s">
        <v>184</v>
      </c>
      <c r="B80" s="3" t="s">
        <v>185</v>
      </c>
      <c r="C80" s="2">
        <v>2</v>
      </c>
      <c r="D80" s="14"/>
      <c r="E80" s="15">
        <v>9.1</v>
      </c>
      <c r="F80" s="14"/>
      <c r="G80" s="14"/>
      <c r="H80" s="14"/>
      <c r="I80" s="15">
        <v>7.74</v>
      </c>
      <c r="J80" s="14"/>
      <c r="K80" s="14"/>
      <c r="L80" s="14"/>
      <c r="M80" s="14"/>
      <c r="N80" s="14"/>
      <c r="O80" s="14"/>
      <c r="P80" s="14"/>
      <c r="Q80" s="14"/>
      <c r="R80" s="14"/>
    </row>
    <row r="81" spans="1:18" ht="16.5" hidden="1" customHeight="1" x14ac:dyDescent="0.25">
      <c r="A81" s="8" t="s">
        <v>186</v>
      </c>
      <c r="B81" s="9" t="s">
        <v>187</v>
      </c>
      <c r="C81" s="8">
        <v>2</v>
      </c>
      <c r="D81" s="17"/>
      <c r="E81" s="15">
        <v>5.42</v>
      </c>
      <c r="F81" s="17"/>
      <c r="G81" s="17"/>
      <c r="H81" s="17"/>
      <c r="I81" s="15">
        <v>4.6500000000000004</v>
      </c>
      <c r="J81" s="17"/>
      <c r="K81" s="17"/>
      <c r="L81" s="17"/>
      <c r="M81" s="17"/>
      <c r="N81" s="17"/>
      <c r="O81" s="17"/>
      <c r="P81" s="17"/>
      <c r="Q81" s="17"/>
      <c r="R81" s="17"/>
    </row>
    <row r="82" spans="1:18" ht="16.5" hidden="1" customHeight="1" x14ac:dyDescent="0.25">
      <c r="A82" s="2" t="s">
        <v>188</v>
      </c>
      <c r="B82" s="3" t="s">
        <v>189</v>
      </c>
      <c r="C82" s="2">
        <v>2</v>
      </c>
      <c r="D82" s="14"/>
      <c r="E82" s="15">
        <v>3.48</v>
      </c>
      <c r="F82" s="14"/>
      <c r="G82" s="14"/>
      <c r="H82" s="14"/>
      <c r="I82" s="15">
        <v>3.52</v>
      </c>
      <c r="J82" s="14"/>
      <c r="K82" s="14"/>
      <c r="L82" s="14"/>
      <c r="M82" s="14"/>
      <c r="N82" s="14"/>
      <c r="O82" s="14"/>
      <c r="P82" s="14"/>
      <c r="Q82" s="14"/>
      <c r="R82" s="14"/>
    </row>
    <row r="83" spans="1:18" ht="16.5" hidden="1" customHeight="1" x14ac:dyDescent="0.25">
      <c r="A83" s="8" t="s">
        <v>190</v>
      </c>
      <c r="B83" s="9" t="s">
        <v>191</v>
      </c>
      <c r="C83" s="8">
        <v>2</v>
      </c>
      <c r="D83" s="17"/>
      <c r="E83" s="15">
        <v>3.4</v>
      </c>
      <c r="F83" s="17"/>
      <c r="G83" s="17"/>
      <c r="H83" s="17"/>
      <c r="I83" s="15">
        <v>2.91</v>
      </c>
      <c r="J83" s="17"/>
      <c r="K83" s="17"/>
      <c r="L83" s="17"/>
      <c r="M83" s="17"/>
      <c r="N83" s="17"/>
      <c r="O83" s="17"/>
      <c r="P83" s="17"/>
      <c r="Q83" s="17"/>
      <c r="R83" s="17"/>
    </row>
    <row r="84" spans="1:18" ht="16.5" hidden="1" customHeight="1" x14ac:dyDescent="0.25">
      <c r="A84" s="2" t="s">
        <v>192</v>
      </c>
      <c r="B84" s="3" t="s">
        <v>193</v>
      </c>
      <c r="C84" s="2">
        <v>2</v>
      </c>
      <c r="D84" s="14"/>
      <c r="E84" s="14"/>
      <c r="F84" s="14"/>
      <c r="G84" s="15">
        <v>2.48</v>
      </c>
      <c r="H84" s="15">
        <v>2.83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 ht="16.5" hidden="1" customHeight="1" x14ac:dyDescent="0.25">
      <c r="A85" s="8" t="s">
        <v>194</v>
      </c>
      <c r="B85" s="9" t="s">
        <v>195</v>
      </c>
      <c r="C85" s="8">
        <v>2</v>
      </c>
      <c r="D85" s="17"/>
      <c r="E85" s="17"/>
      <c r="F85" s="17"/>
      <c r="G85" s="17"/>
      <c r="H85" s="17"/>
      <c r="I85" s="15">
        <v>2.67</v>
      </c>
      <c r="J85" s="17"/>
      <c r="K85" s="15">
        <v>0.27</v>
      </c>
      <c r="L85" s="17"/>
      <c r="M85" s="17"/>
      <c r="N85" s="17"/>
      <c r="O85" s="17"/>
      <c r="P85" s="17"/>
      <c r="Q85" s="17"/>
      <c r="R85" s="17"/>
    </row>
    <row r="86" spans="1:18" ht="16.5" hidden="1" customHeight="1" x14ac:dyDescent="0.25">
      <c r="A86" s="2" t="s">
        <v>196</v>
      </c>
      <c r="B86" s="3" t="s">
        <v>197</v>
      </c>
      <c r="C86" s="2">
        <v>2</v>
      </c>
      <c r="D86" s="14"/>
      <c r="E86" s="14"/>
      <c r="F86" s="14"/>
      <c r="G86" s="14"/>
      <c r="H86" s="14"/>
      <c r="I86" s="14"/>
      <c r="J86" s="15">
        <v>1.86</v>
      </c>
      <c r="K86" s="15">
        <v>2.39</v>
      </c>
      <c r="L86" s="14"/>
      <c r="M86" s="14"/>
      <c r="N86" s="14"/>
      <c r="O86" s="14"/>
      <c r="P86" s="14"/>
      <c r="Q86" s="14"/>
      <c r="R86" s="14"/>
    </row>
    <row r="87" spans="1:18" ht="16.5" hidden="1" customHeight="1" x14ac:dyDescent="0.25">
      <c r="A87" s="8" t="s">
        <v>198</v>
      </c>
      <c r="B87" s="9" t="s">
        <v>199</v>
      </c>
      <c r="C87" s="8">
        <v>2</v>
      </c>
      <c r="D87" s="17"/>
      <c r="E87" s="17"/>
      <c r="F87" s="17"/>
      <c r="G87" s="17"/>
      <c r="H87" s="17"/>
      <c r="I87" s="17"/>
      <c r="J87" s="15">
        <v>0.28000000000000003</v>
      </c>
      <c r="K87" s="15">
        <v>0.77</v>
      </c>
      <c r="L87" s="17"/>
      <c r="M87" s="17"/>
      <c r="N87" s="17"/>
      <c r="O87" s="17"/>
      <c r="P87" s="17"/>
      <c r="Q87" s="17"/>
      <c r="R87" s="17"/>
    </row>
  </sheetData>
  <autoFilter ref="A21:R87">
    <filterColumn colId="0">
      <filters>
        <filter val="DAPGM"/>
      </filters>
    </filterColumn>
  </autoFilter>
  <mergeCells count="3">
    <mergeCell ref="A1:J1"/>
    <mergeCell ref="A2:J2"/>
    <mergeCell ref="A20:R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5.85546875" customWidth="1"/>
    <col min="6" max="6" width="10" customWidth="1"/>
  </cols>
  <sheetData>
    <row r="1" spans="1:8" ht="30" customHeight="1" x14ac:dyDescent="0.25">
      <c r="A1" s="56" t="s">
        <v>200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11</v>
      </c>
      <c r="D2" s="22" t="s">
        <v>202</v>
      </c>
      <c r="E2" s="24">
        <v>808693167.33000004</v>
      </c>
      <c r="G2" s="22" t="s">
        <v>203</v>
      </c>
      <c r="H2" s="25" t="s">
        <v>204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180</v>
      </c>
      <c r="B5" s="29" t="s">
        <v>181</v>
      </c>
      <c r="C5" s="30">
        <v>255200000</v>
      </c>
      <c r="D5" s="31">
        <v>1048872000</v>
      </c>
      <c r="E5" s="32">
        <v>129.58000000000001</v>
      </c>
      <c r="F5" s="32">
        <v>100</v>
      </c>
    </row>
    <row r="6" spans="1:8" ht="19.5" customHeight="1" x14ac:dyDescent="0.25">
      <c r="A6" s="33"/>
      <c r="B6" s="34" t="s">
        <v>210</v>
      </c>
      <c r="C6" s="33"/>
      <c r="D6" s="35">
        <f>SUM(D5:D5)</f>
        <v>1048872000</v>
      </c>
      <c r="E6" s="33"/>
      <c r="F6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5.85546875" customWidth="1"/>
    <col min="6" max="6" width="10" customWidth="1"/>
  </cols>
  <sheetData>
    <row r="1" spans="1:8" ht="30" customHeight="1" x14ac:dyDescent="0.25">
      <c r="A1" s="56" t="s">
        <v>211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15</v>
      </c>
      <c r="D2" s="22" t="s">
        <v>202</v>
      </c>
      <c r="E2" s="24">
        <v>751586597.69000006</v>
      </c>
      <c r="G2" s="22" t="s">
        <v>203</v>
      </c>
      <c r="H2" s="36" t="s">
        <v>212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70</v>
      </c>
      <c r="B5" s="29" t="s">
        <v>71</v>
      </c>
      <c r="C5" s="30">
        <v>325000</v>
      </c>
      <c r="D5" s="31">
        <v>104081250</v>
      </c>
      <c r="E5" s="32">
        <v>14.42</v>
      </c>
      <c r="F5" s="32">
        <v>14.42</v>
      </c>
    </row>
    <row r="6" spans="1:8" ht="16.5" customHeight="1" x14ac:dyDescent="0.25">
      <c r="A6" s="37" t="s">
        <v>138</v>
      </c>
      <c r="B6" s="38" t="s">
        <v>139</v>
      </c>
      <c r="C6" s="39">
        <v>225000</v>
      </c>
      <c r="D6" s="40">
        <v>79875000</v>
      </c>
      <c r="E6" s="41">
        <v>11.07</v>
      </c>
      <c r="F6" s="41">
        <v>11.07</v>
      </c>
    </row>
    <row r="7" spans="1:8" ht="16.5" customHeight="1" x14ac:dyDescent="0.25">
      <c r="A7" s="28" t="s">
        <v>152</v>
      </c>
      <c r="B7" s="29" t="s">
        <v>153</v>
      </c>
      <c r="C7" s="30">
        <v>2250000</v>
      </c>
      <c r="D7" s="31">
        <v>79020000</v>
      </c>
      <c r="E7" s="32">
        <v>10.95</v>
      </c>
      <c r="F7" s="32">
        <v>10.95</v>
      </c>
    </row>
    <row r="8" spans="1:8" ht="16.5" customHeight="1" x14ac:dyDescent="0.25">
      <c r="A8" s="37" t="s">
        <v>182</v>
      </c>
      <c r="B8" s="38" t="s">
        <v>183</v>
      </c>
      <c r="C8" s="39">
        <v>655000</v>
      </c>
      <c r="D8" s="40">
        <v>76307500</v>
      </c>
      <c r="E8" s="41">
        <v>10.58</v>
      </c>
      <c r="F8" s="41">
        <v>10.58</v>
      </c>
    </row>
    <row r="9" spans="1:8" ht="16.5" customHeight="1" x14ac:dyDescent="0.25">
      <c r="A9" s="28" t="s">
        <v>142</v>
      </c>
      <c r="B9" s="29" t="s">
        <v>143</v>
      </c>
      <c r="C9" s="30">
        <v>4750000</v>
      </c>
      <c r="D9" s="31">
        <v>67925000</v>
      </c>
      <c r="E9" s="32">
        <v>9.41</v>
      </c>
      <c r="F9" s="32">
        <v>9.41</v>
      </c>
    </row>
    <row r="10" spans="1:8" ht="16.5" customHeight="1" x14ac:dyDescent="0.25">
      <c r="A10" s="37" t="s">
        <v>184</v>
      </c>
      <c r="B10" s="38" t="s">
        <v>185</v>
      </c>
      <c r="C10" s="39">
        <v>3750000</v>
      </c>
      <c r="D10" s="40">
        <v>65625000</v>
      </c>
      <c r="E10" s="41">
        <v>9.1</v>
      </c>
      <c r="F10" s="41">
        <v>9.1</v>
      </c>
    </row>
    <row r="11" spans="1:8" ht="16.5" customHeight="1" x14ac:dyDescent="0.25">
      <c r="A11" s="28" t="s">
        <v>102</v>
      </c>
      <c r="B11" s="29" t="s">
        <v>103</v>
      </c>
      <c r="C11" s="30">
        <v>1000000</v>
      </c>
      <c r="D11" s="31">
        <v>41900000</v>
      </c>
      <c r="E11" s="32">
        <v>5.81</v>
      </c>
      <c r="F11" s="32">
        <v>5.81</v>
      </c>
    </row>
    <row r="12" spans="1:8" ht="16.5" customHeight="1" x14ac:dyDescent="0.25">
      <c r="A12" s="37" t="s">
        <v>186</v>
      </c>
      <c r="B12" s="38" t="s">
        <v>187</v>
      </c>
      <c r="C12" s="39">
        <v>1333333</v>
      </c>
      <c r="D12" s="40">
        <v>39119990</v>
      </c>
      <c r="E12" s="41">
        <v>5.42</v>
      </c>
      <c r="F12" s="41">
        <v>5.42</v>
      </c>
    </row>
    <row r="13" spans="1:8" ht="16.5" customHeight="1" x14ac:dyDescent="0.25">
      <c r="A13" s="28" t="s">
        <v>68</v>
      </c>
      <c r="B13" s="29" t="s">
        <v>69</v>
      </c>
      <c r="C13" s="30">
        <v>1000000</v>
      </c>
      <c r="D13" s="31">
        <v>33020000</v>
      </c>
      <c r="E13" s="32">
        <v>4.57</v>
      </c>
      <c r="F13" s="32">
        <v>4.57</v>
      </c>
    </row>
    <row r="14" spans="1:8" ht="16.5" customHeight="1" x14ac:dyDescent="0.25">
      <c r="A14" s="37" t="s">
        <v>118</v>
      </c>
      <c r="B14" s="38" t="s">
        <v>119</v>
      </c>
      <c r="C14" s="39">
        <v>250000</v>
      </c>
      <c r="D14" s="40">
        <v>29750000</v>
      </c>
      <c r="E14" s="41">
        <v>4.12</v>
      </c>
      <c r="F14" s="41">
        <v>4.12</v>
      </c>
    </row>
    <row r="15" spans="1:8" ht="16.5" customHeight="1" x14ac:dyDescent="0.25">
      <c r="A15" s="28" t="s">
        <v>146</v>
      </c>
      <c r="B15" s="29" t="s">
        <v>147</v>
      </c>
      <c r="C15" s="30">
        <v>3000000</v>
      </c>
      <c r="D15" s="31">
        <v>28230000</v>
      </c>
      <c r="E15" s="32">
        <v>3.92</v>
      </c>
      <c r="F15" s="32">
        <v>3.92</v>
      </c>
    </row>
    <row r="16" spans="1:8" ht="16.5" customHeight="1" x14ac:dyDescent="0.25">
      <c r="A16" s="37" t="s">
        <v>188</v>
      </c>
      <c r="B16" s="38" t="s">
        <v>189</v>
      </c>
      <c r="C16" s="39">
        <v>275000</v>
      </c>
      <c r="D16" s="40">
        <v>25093750</v>
      </c>
      <c r="E16" s="41">
        <v>3.48</v>
      </c>
      <c r="F16" s="41">
        <v>3.48</v>
      </c>
    </row>
    <row r="17" spans="1:6" ht="16.5" customHeight="1" x14ac:dyDescent="0.25">
      <c r="A17" s="28" t="s">
        <v>190</v>
      </c>
      <c r="B17" s="29" t="s">
        <v>191</v>
      </c>
      <c r="C17" s="30">
        <v>25000</v>
      </c>
      <c r="D17" s="31">
        <v>24500000</v>
      </c>
      <c r="E17" s="32">
        <v>3.4</v>
      </c>
      <c r="F17" s="32">
        <v>3.4</v>
      </c>
    </row>
    <row r="18" spans="1:6" ht="16.5" customHeight="1" x14ac:dyDescent="0.25">
      <c r="A18" s="37" t="s">
        <v>154</v>
      </c>
      <c r="B18" s="38" t="s">
        <v>155</v>
      </c>
      <c r="C18" s="39">
        <v>1375000</v>
      </c>
      <c r="D18" s="40">
        <v>16115000</v>
      </c>
      <c r="E18" s="41">
        <v>2.23</v>
      </c>
      <c r="F18" s="41">
        <v>2.23</v>
      </c>
    </row>
    <row r="19" spans="1:6" ht="19.5" customHeight="1" x14ac:dyDescent="0.25">
      <c r="A19" s="33"/>
      <c r="B19" s="34" t="s">
        <v>210</v>
      </c>
      <c r="C19" s="33"/>
      <c r="D19" s="35">
        <f>SUM(D5:D18)</f>
        <v>710562490</v>
      </c>
      <c r="E19" s="33"/>
      <c r="F19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4.85546875" bestFit="1" customWidth="1"/>
    <col min="6" max="6" width="10" customWidth="1"/>
  </cols>
  <sheetData>
    <row r="1" spans="1:8" ht="30" customHeight="1" x14ac:dyDescent="0.25">
      <c r="A1" s="56" t="s">
        <v>213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19</v>
      </c>
      <c r="D2" s="22" t="s">
        <v>202</v>
      </c>
      <c r="E2" s="24">
        <v>39692727.25</v>
      </c>
      <c r="G2" s="22" t="s">
        <v>203</v>
      </c>
      <c r="H2" s="36" t="s">
        <v>214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90</v>
      </c>
      <c r="B5" s="29" t="s">
        <v>91</v>
      </c>
      <c r="C5" s="30">
        <v>33560</v>
      </c>
      <c r="D5" s="31">
        <v>6544200</v>
      </c>
      <c r="E5" s="32">
        <v>17.95</v>
      </c>
      <c r="F5" s="32">
        <v>16.899999999999999</v>
      </c>
    </row>
    <row r="6" spans="1:8" ht="16.5" customHeight="1" x14ac:dyDescent="0.25">
      <c r="A6" s="37" t="s">
        <v>78</v>
      </c>
      <c r="B6" s="38" t="s">
        <v>79</v>
      </c>
      <c r="C6" s="39">
        <v>91759</v>
      </c>
      <c r="D6" s="40">
        <v>6056094</v>
      </c>
      <c r="E6" s="41">
        <v>16.61</v>
      </c>
      <c r="F6" s="41">
        <v>15.66</v>
      </c>
    </row>
    <row r="7" spans="1:8" ht="16.5" customHeight="1" x14ac:dyDescent="0.25">
      <c r="A7" s="28" t="s">
        <v>70</v>
      </c>
      <c r="B7" s="29" t="s">
        <v>71</v>
      </c>
      <c r="C7" s="30">
        <v>7735</v>
      </c>
      <c r="D7" s="31">
        <v>2477134</v>
      </c>
      <c r="E7" s="32">
        <v>6.8</v>
      </c>
      <c r="F7" s="32">
        <v>6.4</v>
      </c>
    </row>
    <row r="8" spans="1:8" ht="16.5" customHeight="1" x14ac:dyDescent="0.25">
      <c r="A8" s="37" t="s">
        <v>68</v>
      </c>
      <c r="B8" s="38" t="s">
        <v>69</v>
      </c>
      <c r="C8" s="39">
        <v>72480</v>
      </c>
      <c r="D8" s="40">
        <v>2393290</v>
      </c>
      <c r="E8" s="41">
        <v>6.57</v>
      </c>
      <c r="F8" s="41">
        <v>6.19</v>
      </c>
    </row>
    <row r="9" spans="1:8" ht="16.5" customHeight="1" x14ac:dyDescent="0.25">
      <c r="A9" s="28" t="s">
        <v>100</v>
      </c>
      <c r="B9" s="29" t="s">
        <v>101</v>
      </c>
      <c r="C9" s="30">
        <v>5215</v>
      </c>
      <c r="D9" s="31">
        <v>2218983</v>
      </c>
      <c r="E9" s="32">
        <v>6.09</v>
      </c>
      <c r="F9" s="32">
        <v>5.74</v>
      </c>
    </row>
    <row r="10" spans="1:8" ht="16.5" customHeight="1" x14ac:dyDescent="0.25">
      <c r="A10" s="37" t="s">
        <v>82</v>
      </c>
      <c r="B10" s="38" t="s">
        <v>83</v>
      </c>
      <c r="C10" s="39">
        <v>64900</v>
      </c>
      <c r="D10" s="40">
        <v>1831478</v>
      </c>
      <c r="E10" s="41">
        <v>5.0199999999999996</v>
      </c>
      <c r="F10" s="41">
        <v>4.7300000000000004</v>
      </c>
    </row>
    <row r="11" spans="1:8" ht="16.5" customHeight="1" x14ac:dyDescent="0.25">
      <c r="A11" s="28" t="s">
        <v>92</v>
      </c>
      <c r="B11" s="29" t="s">
        <v>93</v>
      </c>
      <c r="C11" s="30">
        <v>19183</v>
      </c>
      <c r="D11" s="31">
        <v>1792651</v>
      </c>
      <c r="E11" s="32">
        <v>4.92</v>
      </c>
      <c r="F11" s="32">
        <v>4.63</v>
      </c>
    </row>
    <row r="12" spans="1:8" ht="16.5" customHeight="1" x14ac:dyDescent="0.25">
      <c r="A12" s="37" t="s">
        <v>74</v>
      </c>
      <c r="B12" s="38" t="s">
        <v>75</v>
      </c>
      <c r="C12" s="39">
        <v>6652</v>
      </c>
      <c r="D12" s="40">
        <v>1717879</v>
      </c>
      <c r="E12" s="41">
        <v>4.71</v>
      </c>
      <c r="F12" s="41">
        <v>4.4400000000000004</v>
      </c>
    </row>
    <row r="13" spans="1:8" ht="16.5" customHeight="1" x14ac:dyDescent="0.25">
      <c r="A13" s="28" t="s">
        <v>120</v>
      </c>
      <c r="B13" s="29" t="s">
        <v>121</v>
      </c>
      <c r="C13" s="30">
        <v>14315</v>
      </c>
      <c r="D13" s="31">
        <v>1639068</v>
      </c>
      <c r="E13" s="32">
        <v>4.5</v>
      </c>
      <c r="F13" s="32">
        <v>4.24</v>
      </c>
    </row>
    <row r="14" spans="1:8" ht="16.5" customHeight="1" x14ac:dyDescent="0.25">
      <c r="A14" s="37" t="s">
        <v>86</v>
      </c>
      <c r="B14" s="38" t="s">
        <v>87</v>
      </c>
      <c r="C14" s="39">
        <v>5360</v>
      </c>
      <c r="D14" s="40">
        <v>1577180</v>
      </c>
      <c r="E14" s="41">
        <v>4.33</v>
      </c>
      <c r="F14" s="41">
        <v>4.08</v>
      </c>
    </row>
    <row r="15" spans="1:8" ht="16.5" customHeight="1" x14ac:dyDescent="0.25">
      <c r="A15" s="28" t="s">
        <v>72</v>
      </c>
      <c r="B15" s="29" t="s">
        <v>73</v>
      </c>
      <c r="C15" s="30">
        <v>7980</v>
      </c>
      <c r="D15" s="31">
        <v>1554504</v>
      </c>
      <c r="E15" s="32">
        <v>4.26</v>
      </c>
      <c r="F15" s="32">
        <v>4.0199999999999996</v>
      </c>
    </row>
    <row r="16" spans="1:8" ht="16.5" customHeight="1" x14ac:dyDescent="0.25">
      <c r="A16" s="37" t="s">
        <v>76</v>
      </c>
      <c r="B16" s="38" t="s">
        <v>77</v>
      </c>
      <c r="C16" s="39">
        <v>2430</v>
      </c>
      <c r="D16" s="40">
        <v>1464075</v>
      </c>
      <c r="E16" s="41">
        <v>4.0199999999999996</v>
      </c>
      <c r="F16" s="41">
        <v>3.79</v>
      </c>
    </row>
    <row r="17" spans="1:6" ht="16.5" customHeight="1" x14ac:dyDescent="0.25">
      <c r="A17" s="28" t="s">
        <v>104</v>
      </c>
      <c r="B17" s="29" t="s">
        <v>105</v>
      </c>
      <c r="C17" s="30">
        <v>14150</v>
      </c>
      <c r="D17" s="31">
        <v>1430565</v>
      </c>
      <c r="E17" s="32">
        <v>3.92</v>
      </c>
      <c r="F17" s="32">
        <v>3.7</v>
      </c>
    </row>
    <row r="18" spans="1:6" ht="16.5" customHeight="1" x14ac:dyDescent="0.25">
      <c r="A18" s="37" t="s">
        <v>156</v>
      </c>
      <c r="B18" s="38" t="s">
        <v>157</v>
      </c>
      <c r="C18" s="39">
        <v>24234</v>
      </c>
      <c r="D18" s="40">
        <v>1406784</v>
      </c>
      <c r="E18" s="41">
        <v>3.86</v>
      </c>
      <c r="F18" s="41">
        <v>3.64</v>
      </c>
    </row>
    <row r="19" spans="1:6" ht="16.5" customHeight="1" x14ac:dyDescent="0.25">
      <c r="A19" s="28" t="s">
        <v>132</v>
      </c>
      <c r="B19" s="29" t="s">
        <v>133</v>
      </c>
      <c r="C19" s="30">
        <v>40000</v>
      </c>
      <c r="D19" s="31">
        <v>1191200</v>
      </c>
      <c r="E19" s="32">
        <v>3.27</v>
      </c>
      <c r="F19" s="32">
        <v>3.08</v>
      </c>
    </row>
    <row r="20" spans="1:6" ht="16.5" customHeight="1" x14ac:dyDescent="0.25">
      <c r="A20" s="37" t="s">
        <v>106</v>
      </c>
      <c r="B20" s="38" t="s">
        <v>107</v>
      </c>
      <c r="C20" s="39">
        <v>60108</v>
      </c>
      <c r="D20" s="40">
        <v>1154675</v>
      </c>
      <c r="E20" s="41">
        <v>3.17</v>
      </c>
      <c r="F20" s="41">
        <v>2.99</v>
      </c>
    </row>
    <row r="21" spans="1:6" ht="19.5" customHeight="1" x14ac:dyDescent="0.25">
      <c r="A21" s="33"/>
      <c r="B21" s="34" t="s">
        <v>210</v>
      </c>
      <c r="C21" s="33"/>
      <c r="D21" s="35">
        <f>SUM(D5:D20)</f>
        <v>36449760</v>
      </c>
      <c r="E21" s="33"/>
      <c r="F21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3.85546875" customWidth="1"/>
    <col min="6" max="6" width="10" customWidth="1"/>
  </cols>
  <sheetData>
    <row r="1" spans="1:8" ht="30" customHeight="1" x14ac:dyDescent="0.25">
      <c r="A1" s="56" t="s">
        <v>215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19</v>
      </c>
      <c r="D2" s="22" t="s">
        <v>202</v>
      </c>
      <c r="E2" s="24">
        <v>7765850.4699999997</v>
      </c>
      <c r="G2" s="22" t="s">
        <v>203</v>
      </c>
      <c r="H2" s="36" t="s">
        <v>216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88</v>
      </c>
      <c r="B5" s="29" t="s">
        <v>89</v>
      </c>
      <c r="C5" s="30">
        <v>1489</v>
      </c>
      <c r="D5" s="31">
        <v>1016987</v>
      </c>
      <c r="E5" s="32">
        <v>13.59</v>
      </c>
      <c r="F5" s="32">
        <v>13.04</v>
      </c>
    </row>
    <row r="6" spans="1:8" ht="16.5" customHeight="1" x14ac:dyDescent="0.25">
      <c r="A6" s="37" t="s">
        <v>70</v>
      </c>
      <c r="B6" s="38" t="s">
        <v>71</v>
      </c>
      <c r="C6" s="39">
        <v>2408</v>
      </c>
      <c r="D6" s="40">
        <v>771162</v>
      </c>
      <c r="E6" s="41">
        <v>10.32</v>
      </c>
      <c r="F6" s="41">
        <v>9.9</v>
      </c>
    </row>
    <row r="7" spans="1:8" ht="16.5" customHeight="1" x14ac:dyDescent="0.25">
      <c r="A7" s="28" t="s">
        <v>74</v>
      </c>
      <c r="B7" s="29" t="s">
        <v>75</v>
      </c>
      <c r="C7" s="30">
        <v>2404</v>
      </c>
      <c r="D7" s="31">
        <v>620833</v>
      </c>
      <c r="E7" s="32">
        <v>8.31</v>
      </c>
      <c r="F7" s="32">
        <v>7.97</v>
      </c>
    </row>
    <row r="8" spans="1:8" ht="16.5" customHeight="1" x14ac:dyDescent="0.25">
      <c r="A8" s="37" t="s">
        <v>100</v>
      </c>
      <c r="B8" s="38" t="s">
        <v>101</v>
      </c>
      <c r="C8" s="39">
        <v>1151</v>
      </c>
      <c r="D8" s="40">
        <v>489751</v>
      </c>
      <c r="E8" s="41">
        <v>6.55</v>
      </c>
      <c r="F8" s="41">
        <v>6.28</v>
      </c>
    </row>
    <row r="9" spans="1:8" ht="16.5" customHeight="1" x14ac:dyDescent="0.25">
      <c r="A9" s="28" t="s">
        <v>217</v>
      </c>
      <c r="B9" s="29" t="s">
        <v>218</v>
      </c>
      <c r="C9" s="30">
        <v>58900</v>
      </c>
      <c r="D9" s="31">
        <v>473556</v>
      </c>
      <c r="E9" s="32">
        <v>6.34</v>
      </c>
      <c r="F9" s="32">
        <v>6.08</v>
      </c>
    </row>
    <row r="10" spans="1:8" ht="16.5" customHeight="1" x14ac:dyDescent="0.25">
      <c r="A10" s="37" t="s">
        <v>120</v>
      </c>
      <c r="B10" s="38" t="s">
        <v>121</v>
      </c>
      <c r="C10" s="39">
        <v>3817</v>
      </c>
      <c r="D10" s="40">
        <v>437047</v>
      </c>
      <c r="E10" s="41">
        <v>5.85</v>
      </c>
      <c r="F10" s="41">
        <v>5.61</v>
      </c>
    </row>
    <row r="11" spans="1:8" ht="16.5" customHeight="1" x14ac:dyDescent="0.25">
      <c r="A11" s="28" t="s">
        <v>80</v>
      </c>
      <c r="B11" s="29" t="s">
        <v>81</v>
      </c>
      <c r="C11" s="30">
        <v>13380</v>
      </c>
      <c r="D11" s="31">
        <v>413442</v>
      </c>
      <c r="E11" s="32">
        <v>5.53</v>
      </c>
      <c r="F11" s="32">
        <v>5.31</v>
      </c>
    </row>
    <row r="12" spans="1:8" ht="16.5" customHeight="1" x14ac:dyDescent="0.25">
      <c r="A12" s="37" t="s">
        <v>82</v>
      </c>
      <c r="B12" s="38" t="s">
        <v>83</v>
      </c>
      <c r="C12" s="39">
        <v>12800</v>
      </c>
      <c r="D12" s="40">
        <v>361216</v>
      </c>
      <c r="E12" s="41">
        <v>4.83</v>
      </c>
      <c r="F12" s="41">
        <v>4.6399999999999997</v>
      </c>
    </row>
    <row r="13" spans="1:8" ht="16.5" customHeight="1" x14ac:dyDescent="0.25">
      <c r="A13" s="28" t="s">
        <v>178</v>
      </c>
      <c r="B13" s="29" t="s">
        <v>179</v>
      </c>
      <c r="C13" s="30">
        <v>10175</v>
      </c>
      <c r="D13" s="31">
        <v>298738</v>
      </c>
      <c r="E13" s="32">
        <v>4</v>
      </c>
      <c r="F13" s="32">
        <v>3.83</v>
      </c>
    </row>
    <row r="14" spans="1:8" ht="16.5" customHeight="1" x14ac:dyDescent="0.25">
      <c r="A14" s="37" t="s">
        <v>150</v>
      </c>
      <c r="B14" s="38" t="s">
        <v>151</v>
      </c>
      <c r="C14" s="39">
        <v>1475</v>
      </c>
      <c r="D14" s="40">
        <v>268008</v>
      </c>
      <c r="E14" s="41">
        <v>3.59</v>
      </c>
      <c r="F14" s="41">
        <v>3.44</v>
      </c>
    </row>
    <row r="15" spans="1:8" ht="16.5" customHeight="1" x14ac:dyDescent="0.25">
      <c r="A15" s="28" t="s">
        <v>219</v>
      </c>
      <c r="B15" s="29" t="s">
        <v>220</v>
      </c>
      <c r="C15" s="30">
        <v>850</v>
      </c>
      <c r="D15" s="31">
        <v>263075</v>
      </c>
      <c r="E15" s="32">
        <v>3.52</v>
      </c>
      <c r="F15" s="32">
        <v>3.38</v>
      </c>
    </row>
    <row r="16" spans="1:8" ht="16.5" customHeight="1" x14ac:dyDescent="0.25">
      <c r="A16" s="37" t="s">
        <v>221</v>
      </c>
      <c r="B16" s="38" t="s">
        <v>222</v>
      </c>
      <c r="C16" s="39">
        <v>2920</v>
      </c>
      <c r="D16" s="40">
        <v>242506</v>
      </c>
      <c r="E16" s="41">
        <v>3.24</v>
      </c>
      <c r="F16" s="41">
        <v>3.11</v>
      </c>
    </row>
    <row r="17" spans="1:6" ht="16.5" customHeight="1" x14ac:dyDescent="0.25">
      <c r="A17" s="28" t="s">
        <v>132</v>
      </c>
      <c r="B17" s="29" t="s">
        <v>133</v>
      </c>
      <c r="C17" s="30">
        <v>8000</v>
      </c>
      <c r="D17" s="31">
        <v>238240</v>
      </c>
      <c r="E17" s="32">
        <v>3.19</v>
      </c>
      <c r="F17" s="32">
        <v>3.06</v>
      </c>
    </row>
    <row r="18" spans="1:6" ht="16.5" customHeight="1" x14ac:dyDescent="0.25">
      <c r="A18" s="37" t="s">
        <v>223</v>
      </c>
      <c r="B18" s="38" t="s">
        <v>224</v>
      </c>
      <c r="C18" s="39">
        <v>99960</v>
      </c>
      <c r="D18" s="40">
        <v>226909</v>
      </c>
      <c r="E18" s="41">
        <v>3.04</v>
      </c>
      <c r="F18" s="41">
        <v>2.91</v>
      </c>
    </row>
    <row r="19" spans="1:6" ht="16.5" customHeight="1" x14ac:dyDescent="0.25">
      <c r="A19" s="28" t="s">
        <v>122</v>
      </c>
      <c r="B19" s="29" t="s">
        <v>123</v>
      </c>
      <c r="C19" s="30">
        <v>431</v>
      </c>
      <c r="D19" s="31">
        <v>203971</v>
      </c>
      <c r="E19" s="32">
        <v>2.73</v>
      </c>
      <c r="F19" s="32">
        <v>2.62</v>
      </c>
    </row>
    <row r="20" spans="1:6" ht="16.5" customHeight="1" x14ac:dyDescent="0.25">
      <c r="A20" s="37" t="s">
        <v>225</v>
      </c>
      <c r="B20" s="38" t="s">
        <v>226</v>
      </c>
      <c r="C20" s="39">
        <v>17363</v>
      </c>
      <c r="D20" s="40">
        <v>203494</v>
      </c>
      <c r="E20" s="41">
        <v>2.72</v>
      </c>
      <c r="F20" s="41">
        <v>2.61</v>
      </c>
    </row>
    <row r="21" spans="1:6" ht="16.5" customHeight="1" x14ac:dyDescent="0.25">
      <c r="A21" s="28" t="s">
        <v>110</v>
      </c>
      <c r="B21" s="29" t="s">
        <v>111</v>
      </c>
      <c r="C21" s="30">
        <v>4070</v>
      </c>
      <c r="D21" s="31">
        <v>198209</v>
      </c>
      <c r="E21" s="32">
        <v>2.65</v>
      </c>
      <c r="F21" s="32">
        <v>2.54</v>
      </c>
    </row>
    <row r="22" spans="1:6" ht="16.5" customHeight="1" x14ac:dyDescent="0.25">
      <c r="A22" s="37" t="s">
        <v>227</v>
      </c>
      <c r="B22" s="38" t="s">
        <v>228</v>
      </c>
      <c r="C22" s="39">
        <v>1470</v>
      </c>
      <c r="D22" s="40">
        <v>193746</v>
      </c>
      <c r="E22" s="41">
        <v>2.59</v>
      </c>
      <c r="F22" s="41">
        <v>2.4900000000000002</v>
      </c>
    </row>
    <row r="23" spans="1:6" ht="16.5" customHeight="1" x14ac:dyDescent="0.25">
      <c r="A23" s="28" t="s">
        <v>229</v>
      </c>
      <c r="B23" s="29" t="s">
        <v>230</v>
      </c>
      <c r="C23" s="30">
        <v>1390</v>
      </c>
      <c r="D23" s="31">
        <v>193488</v>
      </c>
      <c r="E23" s="32">
        <v>2.59</v>
      </c>
      <c r="F23" s="32">
        <v>2.48</v>
      </c>
    </row>
    <row r="24" spans="1:6" ht="16.5" customHeight="1" x14ac:dyDescent="0.25">
      <c r="A24" s="37" t="s">
        <v>192</v>
      </c>
      <c r="B24" s="38" t="s">
        <v>193</v>
      </c>
      <c r="C24" s="39">
        <v>4590</v>
      </c>
      <c r="D24" s="40">
        <v>193239</v>
      </c>
      <c r="E24" s="41">
        <v>2.59</v>
      </c>
      <c r="F24" s="41">
        <v>2.48</v>
      </c>
    </row>
    <row r="25" spans="1:6" ht="16.5" customHeight="1" x14ac:dyDescent="0.25">
      <c r="A25" s="28" t="s">
        <v>106</v>
      </c>
      <c r="B25" s="29" t="s">
        <v>107</v>
      </c>
      <c r="C25" s="30">
        <v>8690</v>
      </c>
      <c r="D25" s="31">
        <v>166935</v>
      </c>
      <c r="E25" s="32">
        <v>2.23</v>
      </c>
      <c r="F25" s="32">
        <v>2.14</v>
      </c>
    </row>
    <row r="26" spans="1:6" ht="19.5" customHeight="1" x14ac:dyDescent="0.25">
      <c r="A26" s="33"/>
      <c r="B26" s="34" t="s">
        <v>210</v>
      </c>
      <c r="C26" s="33"/>
      <c r="D26" s="35">
        <f>SUM(D5:D25)</f>
        <v>7474552</v>
      </c>
      <c r="E26" s="33"/>
      <c r="F26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5.85546875" customWidth="1"/>
    <col min="6" max="6" width="10" customWidth="1"/>
  </cols>
  <sheetData>
    <row r="1" spans="1:8" ht="30" customHeight="1" x14ac:dyDescent="0.25">
      <c r="A1" s="56" t="s">
        <v>231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26</v>
      </c>
      <c r="D2" s="22" t="s">
        <v>202</v>
      </c>
      <c r="E2" s="24">
        <v>653504993.00999999</v>
      </c>
      <c r="G2" s="22" t="s">
        <v>203</v>
      </c>
      <c r="H2" s="25" t="s">
        <v>232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233</v>
      </c>
      <c r="B5" s="29" t="s">
        <v>234</v>
      </c>
      <c r="C5" s="30">
        <v>3500000</v>
      </c>
      <c r="D5" s="31">
        <v>58170000</v>
      </c>
      <c r="E5" s="32">
        <v>10.09</v>
      </c>
      <c r="F5" s="32">
        <v>8.69</v>
      </c>
    </row>
    <row r="6" spans="1:8" ht="16.5" customHeight="1" x14ac:dyDescent="0.25">
      <c r="A6" s="37" t="s">
        <v>235</v>
      </c>
      <c r="B6" s="38" t="s">
        <v>236</v>
      </c>
      <c r="C6" s="39">
        <v>1400001</v>
      </c>
      <c r="D6" s="40">
        <v>51940022</v>
      </c>
      <c r="E6" s="41">
        <v>9.01</v>
      </c>
      <c r="F6" s="41">
        <v>7.76</v>
      </c>
    </row>
    <row r="7" spans="1:8" ht="16.5" customHeight="1" x14ac:dyDescent="0.25">
      <c r="A7" s="28" t="s">
        <v>237</v>
      </c>
      <c r="B7" s="29" t="s">
        <v>238</v>
      </c>
      <c r="C7" s="30">
        <v>1356000</v>
      </c>
      <c r="D7" s="31">
        <v>49494000</v>
      </c>
      <c r="E7" s="32">
        <v>8.58</v>
      </c>
      <c r="F7" s="32">
        <v>7.39</v>
      </c>
    </row>
    <row r="8" spans="1:8" ht="16.5" customHeight="1" x14ac:dyDescent="0.25">
      <c r="A8" s="37" t="s">
        <v>239</v>
      </c>
      <c r="B8" s="38" t="s">
        <v>240</v>
      </c>
      <c r="C8" s="39">
        <v>1430001</v>
      </c>
      <c r="D8" s="40">
        <v>41756027</v>
      </c>
      <c r="E8" s="41">
        <v>7.24</v>
      </c>
      <c r="F8" s="41">
        <v>6.24</v>
      </c>
    </row>
    <row r="9" spans="1:8" ht="16.5" customHeight="1" x14ac:dyDescent="0.25">
      <c r="A9" s="28" t="s">
        <v>241</v>
      </c>
      <c r="B9" s="29" t="s">
        <v>242</v>
      </c>
      <c r="C9" s="30">
        <v>2635783</v>
      </c>
      <c r="D9" s="31">
        <v>35187703</v>
      </c>
      <c r="E9" s="32">
        <v>6.1</v>
      </c>
      <c r="F9" s="32">
        <v>5.26</v>
      </c>
    </row>
    <row r="10" spans="1:8" ht="16.5" customHeight="1" x14ac:dyDescent="0.25">
      <c r="A10" s="37" t="s">
        <v>243</v>
      </c>
      <c r="B10" s="38" t="s">
        <v>244</v>
      </c>
      <c r="C10" s="39">
        <v>2237500</v>
      </c>
      <c r="D10" s="40">
        <v>28640000</v>
      </c>
      <c r="E10" s="41">
        <v>4.97</v>
      </c>
      <c r="F10" s="41">
        <v>4.28</v>
      </c>
    </row>
    <row r="11" spans="1:8" ht="16.5" customHeight="1" x14ac:dyDescent="0.25">
      <c r="A11" s="28" t="s">
        <v>245</v>
      </c>
      <c r="B11" s="29" t="s">
        <v>246</v>
      </c>
      <c r="C11" s="30">
        <v>487500</v>
      </c>
      <c r="D11" s="31">
        <v>27129375</v>
      </c>
      <c r="E11" s="32">
        <v>4.7</v>
      </c>
      <c r="F11" s="32">
        <v>4.05</v>
      </c>
    </row>
    <row r="12" spans="1:8" ht="16.5" customHeight="1" x14ac:dyDescent="0.25">
      <c r="A12" s="37" t="s">
        <v>247</v>
      </c>
      <c r="B12" s="38" t="s">
        <v>248</v>
      </c>
      <c r="C12" s="39">
        <v>450000</v>
      </c>
      <c r="D12" s="40">
        <v>27022500</v>
      </c>
      <c r="E12" s="41">
        <v>4.6900000000000004</v>
      </c>
      <c r="F12" s="41">
        <v>4.04</v>
      </c>
    </row>
    <row r="13" spans="1:8" ht="16.5" customHeight="1" x14ac:dyDescent="0.25">
      <c r="A13" s="28" t="s">
        <v>249</v>
      </c>
      <c r="B13" s="29" t="s">
        <v>250</v>
      </c>
      <c r="C13" s="30">
        <v>1242410</v>
      </c>
      <c r="D13" s="31">
        <v>23841848</v>
      </c>
      <c r="E13" s="32">
        <v>4.13</v>
      </c>
      <c r="F13" s="32">
        <v>3.56</v>
      </c>
    </row>
    <row r="14" spans="1:8" ht="16.5" customHeight="1" x14ac:dyDescent="0.25">
      <c r="A14" s="37" t="s">
        <v>122</v>
      </c>
      <c r="B14" s="38" t="s">
        <v>123</v>
      </c>
      <c r="C14" s="39">
        <v>43500</v>
      </c>
      <c r="D14" s="40">
        <v>20586375</v>
      </c>
      <c r="E14" s="41">
        <v>3.57</v>
      </c>
      <c r="F14" s="41">
        <v>3.07</v>
      </c>
    </row>
    <row r="15" spans="1:8" ht="16.5" customHeight="1" x14ac:dyDescent="0.25">
      <c r="A15" s="28" t="s">
        <v>251</v>
      </c>
      <c r="B15" s="29" t="s">
        <v>252</v>
      </c>
      <c r="C15" s="30">
        <v>1156280</v>
      </c>
      <c r="D15" s="31">
        <v>19945830</v>
      </c>
      <c r="E15" s="32">
        <v>3.46</v>
      </c>
      <c r="F15" s="32">
        <v>2.98</v>
      </c>
    </row>
    <row r="16" spans="1:8" ht="16.5" customHeight="1" x14ac:dyDescent="0.25">
      <c r="A16" s="37" t="s">
        <v>253</v>
      </c>
      <c r="B16" s="38" t="s">
        <v>254</v>
      </c>
      <c r="C16" s="39">
        <v>2293420</v>
      </c>
      <c r="D16" s="40">
        <v>19539942</v>
      </c>
      <c r="E16" s="41">
        <v>3.39</v>
      </c>
      <c r="F16" s="41">
        <v>2.92</v>
      </c>
    </row>
    <row r="17" spans="1:6" ht="16.5" customHeight="1" x14ac:dyDescent="0.25">
      <c r="A17" s="28" t="s">
        <v>255</v>
      </c>
      <c r="B17" s="29" t="s">
        <v>256</v>
      </c>
      <c r="C17" s="30">
        <v>500000</v>
      </c>
      <c r="D17" s="31">
        <v>19370000</v>
      </c>
      <c r="E17" s="32">
        <v>3.36</v>
      </c>
      <c r="F17" s="32">
        <v>2.89</v>
      </c>
    </row>
    <row r="18" spans="1:6" ht="16.5" customHeight="1" x14ac:dyDescent="0.25">
      <c r="A18" s="37" t="s">
        <v>80</v>
      </c>
      <c r="B18" s="38" t="s">
        <v>81</v>
      </c>
      <c r="C18" s="39">
        <v>625000</v>
      </c>
      <c r="D18" s="40">
        <v>19312500</v>
      </c>
      <c r="E18" s="41">
        <v>3.35</v>
      </c>
      <c r="F18" s="41">
        <v>2.89</v>
      </c>
    </row>
    <row r="19" spans="1:6" ht="16.5" customHeight="1" x14ac:dyDescent="0.25">
      <c r="A19" s="28" t="s">
        <v>257</v>
      </c>
      <c r="B19" s="29" t="s">
        <v>258</v>
      </c>
      <c r="C19" s="30">
        <v>177190</v>
      </c>
      <c r="D19" s="31">
        <v>19225115</v>
      </c>
      <c r="E19" s="32">
        <v>3.33</v>
      </c>
      <c r="F19" s="32">
        <v>2.87</v>
      </c>
    </row>
    <row r="20" spans="1:6" ht="16.5" customHeight="1" x14ac:dyDescent="0.25">
      <c r="A20" s="37" t="s">
        <v>192</v>
      </c>
      <c r="B20" s="38" t="s">
        <v>193</v>
      </c>
      <c r="C20" s="39">
        <v>450000</v>
      </c>
      <c r="D20" s="40">
        <v>18945000</v>
      </c>
      <c r="E20" s="41">
        <v>3.28</v>
      </c>
      <c r="F20" s="41">
        <v>2.83</v>
      </c>
    </row>
    <row r="21" spans="1:6" ht="16.5" customHeight="1" x14ac:dyDescent="0.25">
      <c r="A21" s="28" t="s">
        <v>259</v>
      </c>
      <c r="B21" s="29" t="s">
        <v>260</v>
      </c>
      <c r="C21" s="30">
        <v>630000</v>
      </c>
      <c r="D21" s="31">
        <v>18421213</v>
      </c>
      <c r="E21" s="32">
        <v>3.19</v>
      </c>
      <c r="F21" s="32">
        <v>2.75</v>
      </c>
    </row>
    <row r="22" spans="1:6" ht="16.5" customHeight="1" x14ac:dyDescent="0.25">
      <c r="A22" s="37" t="s">
        <v>164</v>
      </c>
      <c r="B22" s="38" t="s">
        <v>261</v>
      </c>
      <c r="C22" s="39">
        <v>1980000</v>
      </c>
      <c r="D22" s="40">
        <v>17562600</v>
      </c>
      <c r="E22" s="41">
        <v>3.05</v>
      </c>
      <c r="F22" s="41">
        <v>2.62</v>
      </c>
    </row>
    <row r="23" spans="1:6" ht="16.5" customHeight="1" x14ac:dyDescent="0.25">
      <c r="A23" s="28" t="s">
        <v>70</v>
      </c>
      <c r="B23" s="29" t="s">
        <v>71</v>
      </c>
      <c r="C23" s="30">
        <v>51470</v>
      </c>
      <c r="D23" s="31">
        <v>16483268</v>
      </c>
      <c r="E23" s="32">
        <v>2.86</v>
      </c>
      <c r="F23" s="32">
        <v>2.46</v>
      </c>
    </row>
    <row r="24" spans="1:6" ht="16.5" customHeight="1" x14ac:dyDescent="0.25">
      <c r="A24" s="37" t="s">
        <v>262</v>
      </c>
      <c r="B24" s="38" t="s">
        <v>263</v>
      </c>
      <c r="C24" s="39">
        <v>370000</v>
      </c>
      <c r="D24" s="40">
        <v>13719600</v>
      </c>
      <c r="E24" s="41">
        <v>2.38</v>
      </c>
      <c r="F24" s="41">
        <v>2.0499999999999998</v>
      </c>
    </row>
    <row r="25" spans="1:6" ht="16.5" customHeight="1" x14ac:dyDescent="0.25">
      <c r="A25" s="28" t="s">
        <v>264</v>
      </c>
      <c r="B25" s="29" t="s">
        <v>265</v>
      </c>
      <c r="C25" s="30">
        <v>964091</v>
      </c>
      <c r="D25" s="31">
        <v>13371936</v>
      </c>
      <c r="E25" s="32">
        <v>2.3199999999999998</v>
      </c>
      <c r="F25" s="32">
        <v>2</v>
      </c>
    </row>
    <row r="26" spans="1:6" ht="16.5" customHeight="1" x14ac:dyDescent="0.25">
      <c r="A26" s="37" t="s">
        <v>266</v>
      </c>
      <c r="B26" s="38" t="s">
        <v>267</v>
      </c>
      <c r="C26" s="39">
        <v>201950</v>
      </c>
      <c r="D26" s="40">
        <v>11299103</v>
      </c>
      <c r="E26" s="41">
        <v>1.96</v>
      </c>
      <c r="F26" s="41">
        <v>1.69</v>
      </c>
    </row>
    <row r="27" spans="1:6" ht="16.5" customHeight="1" x14ac:dyDescent="0.25">
      <c r="A27" s="28" t="s">
        <v>268</v>
      </c>
      <c r="B27" s="29" t="s">
        <v>269</v>
      </c>
      <c r="C27" s="30">
        <v>500000</v>
      </c>
      <c r="D27" s="31">
        <v>5750000</v>
      </c>
      <c r="E27" s="32">
        <v>1</v>
      </c>
      <c r="F27" s="32">
        <v>0.86</v>
      </c>
    </row>
    <row r="28" spans="1:6" ht="19.5" customHeight="1" x14ac:dyDescent="0.25">
      <c r="A28" s="33"/>
      <c r="B28" s="34" t="s">
        <v>210</v>
      </c>
      <c r="C28" s="33"/>
      <c r="D28" s="35">
        <f>SUM(D5:D27)</f>
        <v>576713957</v>
      </c>
      <c r="E28" s="33"/>
      <c r="F28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5.85546875" customWidth="1"/>
    <col min="6" max="6" width="10" customWidth="1"/>
  </cols>
  <sheetData>
    <row r="1" spans="1:8" ht="30" customHeight="1" x14ac:dyDescent="0.25">
      <c r="A1" s="56" t="s">
        <v>270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15</v>
      </c>
      <c r="D2" s="22" t="s">
        <v>202</v>
      </c>
      <c r="E2" s="24">
        <v>841767965.19000006</v>
      </c>
      <c r="G2" s="22" t="s">
        <v>203</v>
      </c>
      <c r="H2" s="36" t="s">
        <v>271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70</v>
      </c>
      <c r="B5" s="29" t="s">
        <v>71</v>
      </c>
      <c r="C5" s="30">
        <v>250000</v>
      </c>
      <c r="D5" s="31">
        <v>80062500</v>
      </c>
      <c r="E5" s="32">
        <v>9.52</v>
      </c>
      <c r="F5" s="32">
        <v>9.52</v>
      </c>
    </row>
    <row r="6" spans="1:8" ht="16.5" customHeight="1" x14ac:dyDescent="0.25">
      <c r="A6" s="37" t="s">
        <v>182</v>
      </c>
      <c r="B6" s="38" t="s">
        <v>183</v>
      </c>
      <c r="C6" s="39">
        <v>667000</v>
      </c>
      <c r="D6" s="40">
        <v>77695500</v>
      </c>
      <c r="E6" s="41">
        <v>9.23</v>
      </c>
      <c r="F6" s="41">
        <v>9.23</v>
      </c>
    </row>
    <row r="7" spans="1:8" ht="16.5" customHeight="1" x14ac:dyDescent="0.25">
      <c r="A7" s="28" t="s">
        <v>184</v>
      </c>
      <c r="B7" s="29" t="s">
        <v>185</v>
      </c>
      <c r="C7" s="30">
        <v>3725000</v>
      </c>
      <c r="D7" s="31">
        <v>65187500</v>
      </c>
      <c r="E7" s="32">
        <v>7.74</v>
      </c>
      <c r="F7" s="32">
        <v>7.74</v>
      </c>
    </row>
    <row r="8" spans="1:8" ht="16.5" customHeight="1" x14ac:dyDescent="0.25">
      <c r="A8" s="37" t="s">
        <v>102</v>
      </c>
      <c r="B8" s="38" t="s">
        <v>103</v>
      </c>
      <c r="C8" s="39">
        <v>1250000</v>
      </c>
      <c r="D8" s="40">
        <v>52375000</v>
      </c>
      <c r="E8" s="41">
        <v>6.22</v>
      </c>
      <c r="F8" s="41">
        <v>6.22</v>
      </c>
    </row>
    <row r="9" spans="1:8" ht="16.5" customHeight="1" x14ac:dyDescent="0.25">
      <c r="A9" s="28" t="s">
        <v>138</v>
      </c>
      <c r="B9" s="29" t="s">
        <v>139</v>
      </c>
      <c r="C9" s="30">
        <v>125000</v>
      </c>
      <c r="D9" s="31">
        <v>44375000</v>
      </c>
      <c r="E9" s="32">
        <v>5.27</v>
      </c>
      <c r="F9" s="32">
        <v>5.27</v>
      </c>
    </row>
    <row r="10" spans="1:8" ht="16.5" customHeight="1" x14ac:dyDescent="0.25">
      <c r="A10" s="37" t="s">
        <v>152</v>
      </c>
      <c r="B10" s="38" t="s">
        <v>272</v>
      </c>
      <c r="C10" s="39">
        <v>1250000</v>
      </c>
      <c r="D10" s="40">
        <v>43900000</v>
      </c>
      <c r="E10" s="41">
        <v>5.21</v>
      </c>
      <c r="F10" s="41">
        <v>5.21</v>
      </c>
    </row>
    <row r="11" spans="1:8" ht="16.5" customHeight="1" x14ac:dyDescent="0.25">
      <c r="A11" s="28" t="s">
        <v>68</v>
      </c>
      <c r="B11" s="29" t="s">
        <v>69</v>
      </c>
      <c r="C11" s="30">
        <v>1250000</v>
      </c>
      <c r="D11" s="31">
        <v>41275000</v>
      </c>
      <c r="E11" s="32">
        <v>4.9000000000000004</v>
      </c>
      <c r="F11" s="32">
        <v>4.9000000000000004</v>
      </c>
    </row>
    <row r="12" spans="1:8" ht="16.5" customHeight="1" x14ac:dyDescent="0.25">
      <c r="A12" s="37" t="s">
        <v>142</v>
      </c>
      <c r="B12" s="38" t="s">
        <v>143</v>
      </c>
      <c r="C12" s="39">
        <v>2875000</v>
      </c>
      <c r="D12" s="40">
        <v>41112500</v>
      </c>
      <c r="E12" s="41">
        <v>4.88</v>
      </c>
      <c r="F12" s="41">
        <v>4.88</v>
      </c>
    </row>
    <row r="13" spans="1:8" ht="16.5" customHeight="1" x14ac:dyDescent="0.25">
      <c r="A13" s="28" t="s">
        <v>186</v>
      </c>
      <c r="B13" s="29" t="s">
        <v>187</v>
      </c>
      <c r="C13" s="30">
        <v>1333333</v>
      </c>
      <c r="D13" s="31">
        <v>39119990</v>
      </c>
      <c r="E13" s="32">
        <v>4.6500000000000004</v>
      </c>
      <c r="F13" s="32">
        <v>4.6500000000000004</v>
      </c>
    </row>
    <row r="14" spans="1:8" ht="16.5" customHeight="1" x14ac:dyDescent="0.25">
      <c r="A14" s="37" t="s">
        <v>86</v>
      </c>
      <c r="B14" s="38" t="s">
        <v>87</v>
      </c>
      <c r="C14" s="39">
        <v>125000</v>
      </c>
      <c r="D14" s="40">
        <v>36781250</v>
      </c>
      <c r="E14" s="41">
        <v>4.37</v>
      </c>
      <c r="F14" s="41">
        <v>4.37</v>
      </c>
    </row>
    <row r="15" spans="1:8" ht="16.5" customHeight="1" x14ac:dyDescent="0.25">
      <c r="A15" s="28" t="s">
        <v>146</v>
      </c>
      <c r="B15" s="29" t="s">
        <v>147</v>
      </c>
      <c r="C15" s="30">
        <v>3625000</v>
      </c>
      <c r="D15" s="31">
        <v>34111250</v>
      </c>
      <c r="E15" s="32">
        <v>4.05</v>
      </c>
      <c r="F15" s="32">
        <v>4.05</v>
      </c>
    </row>
    <row r="16" spans="1:8" ht="16.5" customHeight="1" x14ac:dyDescent="0.25">
      <c r="A16" s="37" t="s">
        <v>118</v>
      </c>
      <c r="B16" s="38" t="s">
        <v>119</v>
      </c>
      <c r="C16" s="39">
        <v>250000</v>
      </c>
      <c r="D16" s="40">
        <v>29750000</v>
      </c>
      <c r="E16" s="41">
        <v>3.53</v>
      </c>
      <c r="F16" s="41">
        <v>3.53</v>
      </c>
    </row>
    <row r="17" spans="1:6" ht="16.5" customHeight="1" x14ac:dyDescent="0.25">
      <c r="A17" s="28" t="s">
        <v>188</v>
      </c>
      <c r="B17" s="29" t="s">
        <v>189</v>
      </c>
      <c r="C17" s="30">
        <v>325000</v>
      </c>
      <c r="D17" s="31">
        <v>29656250</v>
      </c>
      <c r="E17" s="32">
        <v>3.52</v>
      </c>
      <c r="F17" s="32">
        <v>3.52</v>
      </c>
    </row>
    <row r="18" spans="1:6" ht="16.5" customHeight="1" x14ac:dyDescent="0.25">
      <c r="A18" s="37" t="s">
        <v>190</v>
      </c>
      <c r="B18" s="38" t="s">
        <v>191</v>
      </c>
      <c r="C18" s="39">
        <v>25000</v>
      </c>
      <c r="D18" s="40">
        <v>24500000</v>
      </c>
      <c r="E18" s="41">
        <v>2.91</v>
      </c>
      <c r="F18" s="41">
        <v>2.91</v>
      </c>
    </row>
    <row r="19" spans="1:6" ht="16.5" customHeight="1" x14ac:dyDescent="0.25">
      <c r="A19" s="28" t="s">
        <v>80</v>
      </c>
      <c r="B19" s="29" t="s">
        <v>81</v>
      </c>
      <c r="C19" s="30">
        <v>750000</v>
      </c>
      <c r="D19" s="31">
        <v>23175000</v>
      </c>
      <c r="E19" s="32">
        <v>2.75</v>
      </c>
      <c r="F19" s="32">
        <v>2.75</v>
      </c>
    </row>
    <row r="20" spans="1:6" ht="16.5" customHeight="1" x14ac:dyDescent="0.25">
      <c r="A20" s="37" t="s">
        <v>194</v>
      </c>
      <c r="B20" s="38" t="s">
        <v>195</v>
      </c>
      <c r="C20" s="39">
        <v>750000</v>
      </c>
      <c r="D20" s="40">
        <v>22500000</v>
      </c>
      <c r="E20" s="41">
        <v>2.67</v>
      </c>
      <c r="F20" s="41">
        <v>2.67</v>
      </c>
    </row>
    <row r="21" spans="1:6" ht="16.5" customHeight="1" x14ac:dyDescent="0.25">
      <c r="A21" s="28" t="s">
        <v>96</v>
      </c>
      <c r="B21" s="29" t="s">
        <v>97</v>
      </c>
      <c r="C21" s="30">
        <v>175000</v>
      </c>
      <c r="D21" s="31">
        <v>22137500</v>
      </c>
      <c r="E21" s="32">
        <v>2.63</v>
      </c>
      <c r="F21" s="32">
        <v>2.63</v>
      </c>
    </row>
    <row r="22" spans="1:6" ht="16.5" customHeight="1" x14ac:dyDescent="0.25">
      <c r="A22" s="37" t="s">
        <v>158</v>
      </c>
      <c r="B22" s="38" t="s">
        <v>159</v>
      </c>
      <c r="C22" s="39">
        <v>37500</v>
      </c>
      <c r="D22" s="40">
        <v>19368750</v>
      </c>
      <c r="E22" s="41">
        <v>2.2999999999999998</v>
      </c>
      <c r="F22" s="41">
        <v>2.2999999999999998</v>
      </c>
    </row>
    <row r="23" spans="1:6" ht="16.5" customHeight="1" x14ac:dyDescent="0.25">
      <c r="A23" s="28" t="s">
        <v>74</v>
      </c>
      <c r="B23" s="29" t="s">
        <v>75</v>
      </c>
      <c r="C23" s="30">
        <v>75000</v>
      </c>
      <c r="D23" s="31">
        <v>19368750</v>
      </c>
      <c r="E23" s="32">
        <v>2.2999999999999998</v>
      </c>
      <c r="F23" s="32">
        <v>2.2999999999999998</v>
      </c>
    </row>
    <row r="24" spans="1:6" ht="16.5" customHeight="1" x14ac:dyDescent="0.25">
      <c r="A24" s="37" t="s">
        <v>154</v>
      </c>
      <c r="B24" s="38" t="s">
        <v>155</v>
      </c>
      <c r="C24" s="39">
        <v>1500000</v>
      </c>
      <c r="D24" s="40">
        <v>17580000</v>
      </c>
      <c r="E24" s="41">
        <v>2.09</v>
      </c>
      <c r="F24" s="41">
        <v>2.09</v>
      </c>
    </row>
    <row r="25" spans="1:6" ht="16.5" customHeight="1" x14ac:dyDescent="0.25">
      <c r="A25" s="28" t="s">
        <v>78</v>
      </c>
      <c r="B25" s="29" t="s">
        <v>79</v>
      </c>
      <c r="C25" s="30">
        <v>200000</v>
      </c>
      <c r="D25" s="31">
        <v>13200000</v>
      </c>
      <c r="E25" s="32">
        <v>1.57</v>
      </c>
      <c r="F25" s="32">
        <v>1.57</v>
      </c>
    </row>
    <row r="26" spans="1:6" ht="16.5" customHeight="1" x14ac:dyDescent="0.25">
      <c r="A26" s="37" t="s">
        <v>273</v>
      </c>
      <c r="B26" s="38" t="s">
        <v>274</v>
      </c>
      <c r="C26" s="39">
        <v>75000</v>
      </c>
      <c r="D26" s="40">
        <v>9907500</v>
      </c>
      <c r="E26" s="41">
        <v>1.18</v>
      </c>
      <c r="F26" s="41">
        <v>1.18</v>
      </c>
    </row>
    <row r="27" spans="1:6" ht="16.5" customHeight="1" x14ac:dyDescent="0.25">
      <c r="A27" s="28" t="s">
        <v>98</v>
      </c>
      <c r="B27" s="29" t="s">
        <v>99</v>
      </c>
      <c r="C27" s="30">
        <v>750000</v>
      </c>
      <c r="D27" s="31">
        <v>9877500</v>
      </c>
      <c r="E27" s="32">
        <v>1.17</v>
      </c>
      <c r="F27" s="32">
        <v>1.17</v>
      </c>
    </row>
    <row r="28" spans="1:6" ht="16.5" customHeight="1" x14ac:dyDescent="0.25">
      <c r="A28" s="37" t="s">
        <v>136</v>
      </c>
      <c r="B28" s="38" t="s">
        <v>137</v>
      </c>
      <c r="C28" s="39">
        <v>25000</v>
      </c>
      <c r="D28" s="40">
        <v>9100000</v>
      </c>
      <c r="E28" s="41">
        <v>1.08</v>
      </c>
      <c r="F28" s="41">
        <v>1.08</v>
      </c>
    </row>
    <row r="29" spans="1:6" ht="16.5" customHeight="1" x14ac:dyDescent="0.25">
      <c r="A29" s="28" t="s">
        <v>275</v>
      </c>
      <c r="B29" s="29" t="s">
        <v>276</v>
      </c>
      <c r="C29" s="30">
        <v>1250000</v>
      </c>
      <c r="D29" s="31">
        <v>8450000</v>
      </c>
      <c r="E29" s="32">
        <v>1</v>
      </c>
      <c r="F29" s="32">
        <v>1</v>
      </c>
    </row>
    <row r="30" spans="1:6" ht="16.5" customHeight="1" x14ac:dyDescent="0.25">
      <c r="A30" s="37" t="s">
        <v>277</v>
      </c>
      <c r="B30" s="38" t="s">
        <v>278</v>
      </c>
      <c r="C30" s="39">
        <v>55104</v>
      </c>
      <c r="D30" s="40">
        <v>8133350</v>
      </c>
      <c r="E30" s="41">
        <v>0.97</v>
      </c>
      <c r="F30" s="41">
        <v>0.97</v>
      </c>
    </row>
    <row r="31" spans="1:6" ht="16.5" customHeight="1" x14ac:dyDescent="0.25">
      <c r="A31" s="28" t="s">
        <v>279</v>
      </c>
      <c r="B31" s="29" t="s">
        <v>280</v>
      </c>
      <c r="C31" s="30">
        <v>275000</v>
      </c>
      <c r="D31" s="31">
        <v>8024500</v>
      </c>
      <c r="E31" s="32">
        <v>0.95</v>
      </c>
      <c r="F31" s="32">
        <v>0.95</v>
      </c>
    </row>
    <row r="32" spans="1:6" ht="16.5" customHeight="1" x14ac:dyDescent="0.25">
      <c r="A32" s="37" t="s">
        <v>281</v>
      </c>
      <c r="B32" s="38" t="s">
        <v>282</v>
      </c>
      <c r="C32" s="39">
        <v>2500000</v>
      </c>
      <c r="D32" s="40">
        <v>5425000</v>
      </c>
      <c r="E32" s="41">
        <v>0.64</v>
      </c>
      <c r="F32" s="41">
        <v>0.64</v>
      </c>
    </row>
    <row r="33" spans="1:6" ht="16.5" customHeight="1" x14ac:dyDescent="0.25">
      <c r="A33" s="28" t="s">
        <v>283</v>
      </c>
      <c r="B33" s="29" t="s">
        <v>284</v>
      </c>
      <c r="C33" s="30">
        <v>750000</v>
      </c>
      <c r="D33" s="31">
        <v>3870000</v>
      </c>
      <c r="E33" s="32">
        <v>0.46</v>
      </c>
      <c r="F33" s="32">
        <v>0.46</v>
      </c>
    </row>
    <row r="34" spans="1:6" ht="16.5" customHeight="1" x14ac:dyDescent="0.25">
      <c r="A34" s="37" t="s">
        <v>285</v>
      </c>
      <c r="B34" s="38" t="s">
        <v>286</v>
      </c>
      <c r="C34" s="39">
        <v>150000</v>
      </c>
      <c r="D34" s="40">
        <v>1875000</v>
      </c>
      <c r="E34" s="41">
        <v>0.22</v>
      </c>
      <c r="F34" s="41">
        <v>0.22</v>
      </c>
    </row>
    <row r="35" spans="1:6" ht="19.5" customHeight="1" x14ac:dyDescent="0.25">
      <c r="A35" s="33"/>
      <c r="B35" s="34" t="s">
        <v>210</v>
      </c>
      <c r="C35" s="33"/>
      <c r="D35" s="35">
        <f>SUM(D5:D34)</f>
        <v>841894590</v>
      </c>
      <c r="E35" s="33"/>
      <c r="F35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abSelected="1" zoomScaleNormal="100" workbookViewId="0">
      <selection activeCell="K13" sqref="K13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6" t="s">
        <v>287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11</v>
      </c>
      <c r="D2" s="22" t="s">
        <v>202</v>
      </c>
      <c r="E2" s="24">
        <v>118568326.2</v>
      </c>
      <c r="G2" s="22" t="s">
        <v>203</v>
      </c>
      <c r="H2" s="36" t="s">
        <v>288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86</v>
      </c>
      <c r="B5" s="29" t="s">
        <v>87</v>
      </c>
      <c r="C5" s="30">
        <v>25000</v>
      </c>
      <c r="D5" s="31">
        <v>7356250</v>
      </c>
      <c r="E5" s="32">
        <v>6.67</v>
      </c>
      <c r="F5" s="32">
        <v>6.22</v>
      </c>
    </row>
    <row r="6" spans="1:8" ht="16.5" customHeight="1" x14ac:dyDescent="0.25">
      <c r="A6" s="37" t="s">
        <v>78</v>
      </c>
      <c r="B6" s="38" t="s">
        <v>79</v>
      </c>
      <c r="C6" s="39">
        <v>110000</v>
      </c>
      <c r="D6" s="40">
        <v>7260000</v>
      </c>
      <c r="E6" s="41">
        <v>6.57</v>
      </c>
      <c r="F6" s="41">
        <v>6.13</v>
      </c>
    </row>
    <row r="7" spans="1:8" ht="16.5" customHeight="1" x14ac:dyDescent="0.25">
      <c r="A7" s="28" t="s">
        <v>176</v>
      </c>
      <c r="B7" s="29" t="s">
        <v>177</v>
      </c>
      <c r="C7" s="30">
        <v>495000</v>
      </c>
      <c r="D7" s="31">
        <v>7128000</v>
      </c>
      <c r="E7" s="32">
        <v>6.44</v>
      </c>
      <c r="F7" s="32">
        <v>6.01</v>
      </c>
    </row>
    <row r="8" spans="1:8" ht="16.5" customHeight="1" x14ac:dyDescent="0.25">
      <c r="A8" s="37" t="s">
        <v>88</v>
      </c>
      <c r="B8" s="38" t="s">
        <v>89</v>
      </c>
      <c r="C8" s="39">
        <v>10000</v>
      </c>
      <c r="D8" s="40">
        <v>6830000</v>
      </c>
      <c r="E8" s="41">
        <v>6.18</v>
      </c>
      <c r="F8" s="41">
        <v>5.76</v>
      </c>
    </row>
    <row r="9" spans="1:8" ht="16.5" customHeight="1" x14ac:dyDescent="0.25">
      <c r="A9" s="28" t="s">
        <v>158</v>
      </c>
      <c r="B9" s="29" t="s">
        <v>159</v>
      </c>
      <c r="C9" s="30">
        <v>9000</v>
      </c>
      <c r="D9" s="31">
        <v>4648500</v>
      </c>
      <c r="E9" s="32">
        <v>4.2</v>
      </c>
      <c r="F9" s="32">
        <v>3.92</v>
      </c>
    </row>
    <row r="10" spans="1:8" ht="16.5" customHeight="1" x14ac:dyDescent="0.25">
      <c r="A10" s="37" t="s">
        <v>98</v>
      </c>
      <c r="B10" s="38" t="s">
        <v>99</v>
      </c>
      <c r="C10" s="39">
        <v>350000</v>
      </c>
      <c r="D10" s="40">
        <v>4609500</v>
      </c>
      <c r="E10" s="41">
        <v>4.17</v>
      </c>
      <c r="F10" s="41">
        <v>3.89</v>
      </c>
    </row>
    <row r="11" spans="1:8" ht="16.5" customHeight="1" x14ac:dyDescent="0.25">
      <c r="A11" s="28" t="s">
        <v>150</v>
      </c>
      <c r="B11" s="29" t="s">
        <v>151</v>
      </c>
      <c r="C11" s="30">
        <v>25000</v>
      </c>
      <c r="D11" s="31">
        <v>4542500</v>
      </c>
      <c r="E11" s="32">
        <v>4.1100000000000003</v>
      </c>
      <c r="F11" s="32">
        <v>3.83</v>
      </c>
    </row>
    <row r="12" spans="1:8" ht="16.5" customHeight="1" x14ac:dyDescent="0.25">
      <c r="A12" s="37" t="s">
        <v>84</v>
      </c>
      <c r="B12" s="38" t="s">
        <v>85</v>
      </c>
      <c r="C12" s="39">
        <v>50000</v>
      </c>
      <c r="D12" s="40">
        <v>4470000</v>
      </c>
      <c r="E12" s="41">
        <v>4.04</v>
      </c>
      <c r="F12" s="41">
        <v>3.77</v>
      </c>
    </row>
    <row r="13" spans="1:8" ht="16.5" customHeight="1" x14ac:dyDescent="0.25">
      <c r="A13" s="28" t="s">
        <v>124</v>
      </c>
      <c r="B13" s="29" t="s">
        <v>125</v>
      </c>
      <c r="C13" s="30">
        <v>220000</v>
      </c>
      <c r="D13" s="31">
        <v>4393400</v>
      </c>
      <c r="E13" s="32">
        <v>3.97</v>
      </c>
      <c r="F13" s="32">
        <v>3.71</v>
      </c>
    </row>
    <row r="14" spans="1:8" ht="16.5" customHeight="1" x14ac:dyDescent="0.25">
      <c r="A14" s="37" t="s">
        <v>68</v>
      </c>
      <c r="B14" s="38" t="s">
        <v>69</v>
      </c>
      <c r="C14" s="39">
        <v>120000</v>
      </c>
      <c r="D14" s="40">
        <v>3962400</v>
      </c>
      <c r="E14" s="41">
        <v>3.58</v>
      </c>
      <c r="F14" s="41">
        <v>3.34</v>
      </c>
    </row>
    <row r="15" spans="1:8" ht="16.5" customHeight="1" x14ac:dyDescent="0.25">
      <c r="A15" s="28" t="s">
        <v>72</v>
      </c>
      <c r="B15" s="29" t="s">
        <v>73</v>
      </c>
      <c r="C15" s="30">
        <v>20000</v>
      </c>
      <c r="D15" s="31">
        <v>3896000</v>
      </c>
      <c r="E15" s="32">
        <v>3.52</v>
      </c>
      <c r="F15" s="32">
        <v>3.29</v>
      </c>
    </row>
    <row r="16" spans="1:8" ht="16.5" customHeight="1" x14ac:dyDescent="0.25">
      <c r="A16" s="37" t="s">
        <v>94</v>
      </c>
      <c r="B16" s="38" t="s">
        <v>95</v>
      </c>
      <c r="C16" s="39">
        <v>35000</v>
      </c>
      <c r="D16" s="40">
        <v>3706500</v>
      </c>
      <c r="E16" s="41">
        <v>3.35</v>
      </c>
      <c r="F16" s="41">
        <v>3.12</v>
      </c>
    </row>
    <row r="17" spans="1:6" ht="16.5" customHeight="1" x14ac:dyDescent="0.25">
      <c r="A17" s="28" t="s">
        <v>289</v>
      </c>
      <c r="B17" s="29" t="s">
        <v>290</v>
      </c>
      <c r="C17" s="30">
        <v>80000</v>
      </c>
      <c r="D17" s="31">
        <v>3619200</v>
      </c>
      <c r="E17" s="32">
        <v>3.27</v>
      </c>
      <c r="F17" s="32">
        <v>3.06</v>
      </c>
    </row>
    <row r="18" spans="1:6" ht="16.5" customHeight="1" x14ac:dyDescent="0.25">
      <c r="A18" s="37" t="s">
        <v>102</v>
      </c>
      <c r="B18" s="38" t="s">
        <v>103</v>
      </c>
      <c r="C18" s="39">
        <v>85000</v>
      </c>
      <c r="D18" s="40">
        <v>3561500</v>
      </c>
      <c r="E18" s="41">
        <v>3.22</v>
      </c>
      <c r="F18" s="41">
        <v>3</v>
      </c>
    </row>
    <row r="19" spans="1:6" ht="16.5" customHeight="1" x14ac:dyDescent="0.25">
      <c r="A19" s="28" t="s">
        <v>82</v>
      </c>
      <c r="B19" s="29" t="s">
        <v>83</v>
      </c>
      <c r="C19" s="30">
        <v>110000</v>
      </c>
      <c r="D19" s="31">
        <v>3104200</v>
      </c>
      <c r="E19" s="32">
        <v>2.81</v>
      </c>
      <c r="F19" s="32">
        <v>2.62</v>
      </c>
    </row>
    <row r="20" spans="1:6" ht="16.5" customHeight="1" x14ac:dyDescent="0.25">
      <c r="A20" s="37" t="s">
        <v>92</v>
      </c>
      <c r="B20" s="38" t="s">
        <v>93</v>
      </c>
      <c r="C20" s="39">
        <v>30000</v>
      </c>
      <c r="D20" s="40">
        <v>2803500</v>
      </c>
      <c r="E20" s="41">
        <v>2.54</v>
      </c>
      <c r="F20" s="41">
        <v>2.37</v>
      </c>
    </row>
    <row r="21" spans="1:6" ht="16.5" customHeight="1" x14ac:dyDescent="0.25">
      <c r="A21" s="28" t="s">
        <v>76</v>
      </c>
      <c r="B21" s="29" t="s">
        <v>77</v>
      </c>
      <c r="C21" s="30">
        <v>4500</v>
      </c>
      <c r="D21" s="31">
        <v>2711250</v>
      </c>
      <c r="E21" s="32">
        <v>2.4500000000000002</v>
      </c>
      <c r="F21" s="32">
        <v>2.29</v>
      </c>
    </row>
    <row r="22" spans="1:6" ht="16.5" customHeight="1" x14ac:dyDescent="0.25">
      <c r="A22" s="37" t="s">
        <v>96</v>
      </c>
      <c r="B22" s="38" t="s">
        <v>97</v>
      </c>
      <c r="C22" s="39">
        <v>20000</v>
      </c>
      <c r="D22" s="40">
        <v>2530000</v>
      </c>
      <c r="E22" s="41">
        <v>2.29</v>
      </c>
      <c r="F22" s="41">
        <v>2.13</v>
      </c>
    </row>
    <row r="23" spans="1:6" ht="16.5" customHeight="1" x14ac:dyDescent="0.25">
      <c r="A23" s="28" t="s">
        <v>108</v>
      </c>
      <c r="B23" s="29" t="s">
        <v>109</v>
      </c>
      <c r="C23" s="30">
        <v>8000</v>
      </c>
      <c r="D23" s="31">
        <v>2462000</v>
      </c>
      <c r="E23" s="32">
        <v>2.23</v>
      </c>
      <c r="F23" s="32">
        <v>2.08</v>
      </c>
    </row>
    <row r="24" spans="1:6" ht="16.5" customHeight="1" x14ac:dyDescent="0.25">
      <c r="A24" s="37" t="s">
        <v>130</v>
      </c>
      <c r="B24" s="38" t="s">
        <v>131</v>
      </c>
      <c r="C24" s="39">
        <v>100000</v>
      </c>
      <c r="D24" s="40">
        <v>2324000</v>
      </c>
      <c r="E24" s="41">
        <v>2.1</v>
      </c>
      <c r="F24" s="41">
        <v>1.96</v>
      </c>
    </row>
    <row r="25" spans="1:6" ht="16.5" customHeight="1" x14ac:dyDescent="0.25">
      <c r="A25" s="28" t="s">
        <v>196</v>
      </c>
      <c r="B25" s="29" t="s">
        <v>197</v>
      </c>
      <c r="C25" s="30">
        <v>50000</v>
      </c>
      <c r="D25" s="31">
        <v>2199000</v>
      </c>
      <c r="E25" s="32">
        <v>1.99</v>
      </c>
      <c r="F25" s="32">
        <v>1.86</v>
      </c>
    </row>
    <row r="26" spans="1:6" ht="16.5" customHeight="1" x14ac:dyDescent="0.25">
      <c r="A26" s="37" t="s">
        <v>104</v>
      </c>
      <c r="B26" s="38" t="s">
        <v>105</v>
      </c>
      <c r="C26" s="39">
        <v>20000</v>
      </c>
      <c r="D26" s="40">
        <v>2022000</v>
      </c>
      <c r="E26" s="41">
        <v>1.83</v>
      </c>
      <c r="F26" s="41">
        <v>1.71</v>
      </c>
    </row>
    <row r="27" spans="1:6" ht="16.5" customHeight="1" x14ac:dyDescent="0.25">
      <c r="A27" s="28" t="s">
        <v>106</v>
      </c>
      <c r="B27" s="29" t="s">
        <v>107</v>
      </c>
      <c r="C27" s="30">
        <v>100000</v>
      </c>
      <c r="D27" s="31">
        <v>1921000</v>
      </c>
      <c r="E27" s="32">
        <v>1.74</v>
      </c>
      <c r="F27" s="32">
        <v>1.62</v>
      </c>
    </row>
    <row r="28" spans="1:6" ht="16.5" customHeight="1" x14ac:dyDescent="0.25">
      <c r="A28" s="37" t="s">
        <v>134</v>
      </c>
      <c r="B28" s="38" t="s">
        <v>135</v>
      </c>
      <c r="C28" s="39">
        <v>7000</v>
      </c>
      <c r="D28" s="40">
        <v>1916250</v>
      </c>
      <c r="E28" s="41">
        <v>1.73</v>
      </c>
      <c r="F28" s="41">
        <v>1.62</v>
      </c>
    </row>
    <row r="29" spans="1:6" ht="16.5" customHeight="1" x14ac:dyDescent="0.25">
      <c r="A29" s="28" t="s">
        <v>180</v>
      </c>
      <c r="B29" s="29" t="s">
        <v>181</v>
      </c>
      <c r="C29" s="30">
        <v>450000</v>
      </c>
      <c r="D29" s="31">
        <v>1849500</v>
      </c>
      <c r="E29" s="32">
        <v>1.67</v>
      </c>
      <c r="F29" s="32">
        <v>1.56</v>
      </c>
    </row>
    <row r="30" spans="1:6" ht="16.5" customHeight="1" x14ac:dyDescent="0.25">
      <c r="A30" s="37" t="s">
        <v>116</v>
      </c>
      <c r="B30" s="38" t="s">
        <v>117</v>
      </c>
      <c r="C30" s="39">
        <v>20000</v>
      </c>
      <c r="D30" s="40">
        <v>1768000</v>
      </c>
      <c r="E30" s="41">
        <v>1.6</v>
      </c>
      <c r="F30" s="41">
        <v>1.49</v>
      </c>
    </row>
    <row r="31" spans="1:6" ht="16.5" customHeight="1" x14ac:dyDescent="0.25">
      <c r="A31" s="28" t="s">
        <v>126</v>
      </c>
      <c r="B31" s="29" t="s">
        <v>127</v>
      </c>
      <c r="C31" s="30">
        <v>15000</v>
      </c>
      <c r="D31" s="31">
        <v>1767000</v>
      </c>
      <c r="E31" s="32">
        <v>1.6</v>
      </c>
      <c r="F31" s="32">
        <v>1.49</v>
      </c>
    </row>
    <row r="32" spans="1:6" ht="16.5" customHeight="1" x14ac:dyDescent="0.25">
      <c r="A32" s="37" t="s">
        <v>148</v>
      </c>
      <c r="B32" s="38" t="s">
        <v>149</v>
      </c>
      <c r="C32" s="39">
        <v>17500</v>
      </c>
      <c r="D32" s="40">
        <v>1715000</v>
      </c>
      <c r="E32" s="41">
        <v>1.55</v>
      </c>
      <c r="F32" s="41">
        <v>1.45</v>
      </c>
    </row>
    <row r="33" spans="1:6" ht="16.5" customHeight="1" x14ac:dyDescent="0.25">
      <c r="A33" s="28" t="s">
        <v>168</v>
      </c>
      <c r="B33" s="29" t="s">
        <v>169</v>
      </c>
      <c r="C33" s="30">
        <v>55000</v>
      </c>
      <c r="D33" s="31">
        <v>1508100</v>
      </c>
      <c r="E33" s="32">
        <v>1.36</v>
      </c>
      <c r="F33" s="32">
        <v>1.27</v>
      </c>
    </row>
    <row r="34" spans="1:6" ht="16.5" customHeight="1" x14ac:dyDescent="0.25">
      <c r="A34" s="37" t="s">
        <v>112</v>
      </c>
      <c r="B34" s="38" t="s">
        <v>113</v>
      </c>
      <c r="C34" s="39">
        <v>85000</v>
      </c>
      <c r="D34" s="40">
        <v>1426300</v>
      </c>
      <c r="E34" s="41">
        <v>1.29</v>
      </c>
      <c r="F34" s="41">
        <v>1.2</v>
      </c>
    </row>
    <row r="35" spans="1:6" ht="16.5" customHeight="1" x14ac:dyDescent="0.25">
      <c r="A35" s="28" t="s">
        <v>90</v>
      </c>
      <c r="B35" s="29" t="s">
        <v>91</v>
      </c>
      <c r="C35" s="30">
        <v>6000</v>
      </c>
      <c r="D35" s="31">
        <v>1170000</v>
      </c>
      <c r="E35" s="32">
        <v>1.06</v>
      </c>
      <c r="F35" s="32">
        <v>0.99</v>
      </c>
    </row>
    <row r="36" spans="1:6" ht="16.5" customHeight="1" x14ac:dyDescent="0.25">
      <c r="A36" s="37" t="s">
        <v>291</v>
      </c>
      <c r="B36" s="38" t="s">
        <v>292</v>
      </c>
      <c r="C36" s="39">
        <v>5000</v>
      </c>
      <c r="D36" s="40">
        <v>964500</v>
      </c>
      <c r="E36" s="41">
        <v>0.87</v>
      </c>
      <c r="F36" s="41">
        <v>0.81</v>
      </c>
    </row>
    <row r="37" spans="1:6" ht="16.5" customHeight="1" x14ac:dyDescent="0.25">
      <c r="A37" s="28" t="s">
        <v>293</v>
      </c>
      <c r="B37" s="29" t="s">
        <v>294</v>
      </c>
      <c r="C37" s="30">
        <v>45000</v>
      </c>
      <c r="D37" s="31">
        <v>905400</v>
      </c>
      <c r="E37" s="32">
        <v>0.82</v>
      </c>
      <c r="F37" s="32">
        <v>0.76</v>
      </c>
    </row>
    <row r="38" spans="1:6" ht="16.5" customHeight="1" x14ac:dyDescent="0.25">
      <c r="A38" s="37" t="s">
        <v>80</v>
      </c>
      <c r="B38" s="38" t="s">
        <v>81</v>
      </c>
      <c r="C38" s="39">
        <v>25000</v>
      </c>
      <c r="D38" s="40">
        <v>772500</v>
      </c>
      <c r="E38" s="41">
        <v>0.7</v>
      </c>
      <c r="F38" s="41">
        <v>0.65</v>
      </c>
    </row>
    <row r="39" spans="1:6" ht="16.5" customHeight="1" x14ac:dyDescent="0.25">
      <c r="A39" s="28" t="s">
        <v>136</v>
      </c>
      <c r="B39" s="29" t="s">
        <v>137</v>
      </c>
      <c r="C39" s="30">
        <v>2000</v>
      </c>
      <c r="D39" s="31">
        <v>728000</v>
      </c>
      <c r="E39" s="32">
        <v>0.66</v>
      </c>
      <c r="F39" s="32">
        <v>0.61</v>
      </c>
    </row>
    <row r="40" spans="1:6" ht="16.5" customHeight="1" x14ac:dyDescent="0.25">
      <c r="A40" s="37" t="s">
        <v>122</v>
      </c>
      <c r="B40" s="38" t="s">
        <v>123</v>
      </c>
      <c r="C40" s="39">
        <v>1500</v>
      </c>
      <c r="D40" s="40">
        <v>709875</v>
      </c>
      <c r="E40" s="41">
        <v>0.64</v>
      </c>
      <c r="F40" s="41">
        <v>0.6</v>
      </c>
    </row>
    <row r="41" spans="1:6" ht="16.5" customHeight="1" x14ac:dyDescent="0.25">
      <c r="A41" s="28" t="s">
        <v>156</v>
      </c>
      <c r="B41" s="29" t="s">
        <v>157</v>
      </c>
      <c r="C41" s="30">
        <v>10000</v>
      </c>
      <c r="D41" s="31">
        <v>580500</v>
      </c>
      <c r="E41" s="32">
        <v>0.52</v>
      </c>
      <c r="F41" s="32">
        <v>0.49</v>
      </c>
    </row>
    <row r="42" spans="1:6" ht="16.5" customHeight="1" x14ac:dyDescent="0.25">
      <c r="A42" s="37" t="s">
        <v>198</v>
      </c>
      <c r="B42" s="38" t="s">
        <v>199</v>
      </c>
      <c r="C42" s="39">
        <v>30000</v>
      </c>
      <c r="D42" s="40">
        <v>333300</v>
      </c>
      <c r="E42" s="41">
        <v>0.3</v>
      </c>
      <c r="F42" s="41">
        <v>0.28000000000000003</v>
      </c>
    </row>
    <row r="43" spans="1:6" ht="19.5" customHeight="1" x14ac:dyDescent="0.25">
      <c r="A43" s="33"/>
      <c r="B43" s="34" t="s">
        <v>210</v>
      </c>
      <c r="C43" s="33"/>
      <c r="D43" s="35">
        <f>SUM(D5:D42)</f>
        <v>110174925</v>
      </c>
      <c r="E43" s="33"/>
      <c r="F43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5" width="15.85546875" customWidth="1"/>
    <col min="6" max="6" width="10" customWidth="1"/>
  </cols>
  <sheetData>
    <row r="1" spans="1:8" ht="30" customHeight="1" x14ac:dyDescent="0.25">
      <c r="A1" s="56" t="s">
        <v>295</v>
      </c>
      <c r="B1" s="56"/>
      <c r="C1" s="56"/>
      <c r="D1" s="56"/>
      <c r="E1" s="56"/>
      <c r="F1" s="56"/>
      <c r="G1" s="56"/>
    </row>
    <row r="2" spans="1:8" ht="18" customHeight="1" x14ac:dyDescent="0.25">
      <c r="A2" s="22" t="s">
        <v>201</v>
      </c>
      <c r="B2" s="23" t="s">
        <v>36</v>
      </c>
      <c r="D2" s="22" t="s">
        <v>202</v>
      </c>
      <c r="E2" s="24">
        <v>725583664.72000003</v>
      </c>
      <c r="G2" s="22" t="s">
        <v>203</v>
      </c>
      <c r="H2" s="25" t="s">
        <v>296</v>
      </c>
    </row>
    <row r="3" spans="1:8" ht="15.75" customHeight="1" x14ac:dyDescent="0.25">
      <c r="A3" s="26" t="str">
        <f>HYPERLINK("#'Ana Sayfa'!A1","⬅ Ana Sayfaya Dön")</f>
        <v>⬅ Ana Sayfaya Dön</v>
      </c>
    </row>
    <row r="4" spans="1:8" ht="27.75" customHeight="1" x14ac:dyDescent="0.25">
      <c r="A4" s="27" t="s">
        <v>205</v>
      </c>
      <c r="B4" s="27" t="s">
        <v>66</v>
      </c>
      <c r="C4" s="27" t="s">
        <v>206</v>
      </c>
      <c r="D4" s="27" t="s">
        <v>207</v>
      </c>
      <c r="E4" s="27" t="s">
        <v>208</v>
      </c>
      <c r="F4" s="27" t="s">
        <v>209</v>
      </c>
    </row>
    <row r="5" spans="1:8" ht="16.5" customHeight="1" x14ac:dyDescent="0.25">
      <c r="A5" s="28" t="s">
        <v>297</v>
      </c>
      <c r="B5" s="29" t="s">
        <v>298</v>
      </c>
      <c r="C5" s="30">
        <v>2300000</v>
      </c>
      <c r="D5" s="31">
        <v>76820000</v>
      </c>
      <c r="E5" s="32">
        <v>11.88</v>
      </c>
      <c r="F5" s="32">
        <v>10.59</v>
      </c>
    </row>
    <row r="6" spans="1:8" ht="16.5" customHeight="1" x14ac:dyDescent="0.25">
      <c r="A6" s="37" t="s">
        <v>299</v>
      </c>
      <c r="B6" s="38" t="s">
        <v>300</v>
      </c>
      <c r="C6" s="39">
        <v>9300000</v>
      </c>
      <c r="D6" s="40">
        <v>36828000</v>
      </c>
      <c r="E6" s="41">
        <v>5.69</v>
      </c>
      <c r="F6" s="41">
        <v>5.08</v>
      </c>
    </row>
    <row r="7" spans="1:8" ht="16.5" customHeight="1" x14ac:dyDescent="0.25">
      <c r="A7" s="28" t="s">
        <v>154</v>
      </c>
      <c r="B7" s="29" t="s">
        <v>155</v>
      </c>
      <c r="C7" s="30">
        <v>2500000</v>
      </c>
      <c r="D7" s="31">
        <v>29300000</v>
      </c>
      <c r="E7" s="32">
        <v>4.53</v>
      </c>
      <c r="F7" s="32">
        <v>4.04</v>
      </c>
    </row>
    <row r="8" spans="1:8" ht="16.5" customHeight="1" x14ac:dyDescent="0.25">
      <c r="A8" s="37" t="s">
        <v>88</v>
      </c>
      <c r="B8" s="38" t="s">
        <v>89</v>
      </c>
      <c r="C8" s="39">
        <v>40341</v>
      </c>
      <c r="D8" s="40">
        <v>27552903</v>
      </c>
      <c r="E8" s="41">
        <v>4.26</v>
      </c>
      <c r="F8" s="41">
        <v>3.79</v>
      </c>
    </row>
    <row r="9" spans="1:8" ht="16.5" customHeight="1" x14ac:dyDescent="0.25">
      <c r="A9" s="28" t="s">
        <v>301</v>
      </c>
      <c r="B9" s="29" t="s">
        <v>302</v>
      </c>
      <c r="C9" s="30">
        <v>1700250</v>
      </c>
      <c r="D9" s="31">
        <v>23548463</v>
      </c>
      <c r="E9" s="32">
        <v>3.64</v>
      </c>
      <c r="F9" s="32">
        <v>3.25</v>
      </c>
    </row>
    <row r="10" spans="1:8" ht="16.5" customHeight="1" x14ac:dyDescent="0.25">
      <c r="A10" s="37" t="s">
        <v>78</v>
      </c>
      <c r="B10" s="38" t="s">
        <v>79</v>
      </c>
      <c r="C10" s="39">
        <v>356760</v>
      </c>
      <c r="D10" s="40">
        <v>23546160</v>
      </c>
      <c r="E10" s="41">
        <v>3.64</v>
      </c>
      <c r="F10" s="41">
        <v>3.24</v>
      </c>
    </row>
    <row r="11" spans="1:8" ht="16.5" customHeight="1" x14ac:dyDescent="0.25">
      <c r="A11" s="28" t="s">
        <v>303</v>
      </c>
      <c r="B11" s="29" t="s">
        <v>304</v>
      </c>
      <c r="C11" s="30">
        <v>150000</v>
      </c>
      <c r="D11" s="31">
        <v>19410000</v>
      </c>
      <c r="E11" s="32">
        <v>3</v>
      </c>
      <c r="F11" s="32">
        <v>2.68</v>
      </c>
    </row>
    <row r="12" spans="1:8" ht="16.5" customHeight="1" x14ac:dyDescent="0.25">
      <c r="A12" s="37" t="s">
        <v>196</v>
      </c>
      <c r="B12" s="38" t="s">
        <v>197</v>
      </c>
      <c r="C12" s="39">
        <v>394880</v>
      </c>
      <c r="D12" s="40">
        <v>17366822</v>
      </c>
      <c r="E12" s="41">
        <v>2.69</v>
      </c>
      <c r="F12" s="41">
        <v>2.39</v>
      </c>
    </row>
    <row r="13" spans="1:8" ht="16.5" customHeight="1" x14ac:dyDescent="0.25">
      <c r="A13" s="28" t="s">
        <v>305</v>
      </c>
      <c r="B13" s="29" t="s">
        <v>306</v>
      </c>
      <c r="C13" s="30">
        <v>5968362</v>
      </c>
      <c r="D13" s="31">
        <v>17069515</v>
      </c>
      <c r="E13" s="32">
        <v>2.64</v>
      </c>
      <c r="F13" s="32">
        <v>2.36</v>
      </c>
    </row>
    <row r="14" spans="1:8" ht="16.5" customHeight="1" x14ac:dyDescent="0.25">
      <c r="A14" s="37" t="s">
        <v>84</v>
      </c>
      <c r="B14" s="38" t="s">
        <v>85</v>
      </c>
      <c r="C14" s="39">
        <v>168700</v>
      </c>
      <c r="D14" s="40">
        <v>15081780</v>
      </c>
      <c r="E14" s="41">
        <v>2.33</v>
      </c>
      <c r="F14" s="41">
        <v>2.08</v>
      </c>
    </row>
    <row r="15" spans="1:8" ht="16.5" customHeight="1" x14ac:dyDescent="0.25">
      <c r="A15" s="28" t="s">
        <v>94</v>
      </c>
      <c r="B15" s="29" t="s">
        <v>95</v>
      </c>
      <c r="C15" s="30">
        <v>142157</v>
      </c>
      <c r="D15" s="31">
        <v>15054453</v>
      </c>
      <c r="E15" s="32">
        <v>2.33</v>
      </c>
      <c r="F15" s="32">
        <v>2.0699999999999998</v>
      </c>
    </row>
    <row r="16" spans="1:8" ht="16.5" customHeight="1" x14ac:dyDescent="0.25">
      <c r="A16" s="37" t="s">
        <v>90</v>
      </c>
      <c r="B16" s="38" t="s">
        <v>91</v>
      </c>
      <c r="C16" s="39">
        <v>76900</v>
      </c>
      <c r="D16" s="40">
        <v>14995500</v>
      </c>
      <c r="E16" s="41">
        <v>2.3199999999999998</v>
      </c>
      <c r="F16" s="41">
        <v>2.0699999999999998</v>
      </c>
    </row>
    <row r="17" spans="1:6" ht="16.5" customHeight="1" x14ac:dyDescent="0.25">
      <c r="A17" s="28" t="s">
        <v>158</v>
      </c>
      <c r="B17" s="29" t="s">
        <v>159</v>
      </c>
      <c r="C17" s="30">
        <v>27830</v>
      </c>
      <c r="D17" s="31">
        <v>14374195</v>
      </c>
      <c r="E17" s="32">
        <v>2.2200000000000002</v>
      </c>
      <c r="F17" s="32">
        <v>1.98</v>
      </c>
    </row>
    <row r="18" spans="1:6" ht="16.5" customHeight="1" x14ac:dyDescent="0.25">
      <c r="A18" s="37" t="s">
        <v>70</v>
      </c>
      <c r="B18" s="38" t="s">
        <v>71</v>
      </c>
      <c r="C18" s="39">
        <v>40920</v>
      </c>
      <c r="D18" s="40">
        <v>13104630</v>
      </c>
      <c r="E18" s="41">
        <v>2.0299999999999998</v>
      </c>
      <c r="F18" s="41">
        <v>1.81</v>
      </c>
    </row>
    <row r="19" spans="1:6" ht="16.5" customHeight="1" x14ac:dyDescent="0.25">
      <c r="A19" s="28" t="s">
        <v>96</v>
      </c>
      <c r="B19" s="29" t="s">
        <v>97</v>
      </c>
      <c r="C19" s="30">
        <v>99000</v>
      </c>
      <c r="D19" s="31">
        <v>12523500</v>
      </c>
      <c r="E19" s="32">
        <v>1.94</v>
      </c>
      <c r="F19" s="32">
        <v>1.72</v>
      </c>
    </row>
    <row r="20" spans="1:6" ht="16.5" customHeight="1" x14ac:dyDescent="0.25">
      <c r="A20" s="37" t="s">
        <v>82</v>
      </c>
      <c r="B20" s="38" t="s">
        <v>83</v>
      </c>
      <c r="C20" s="39">
        <v>428885</v>
      </c>
      <c r="D20" s="40">
        <v>12103135</v>
      </c>
      <c r="E20" s="41">
        <v>1.87</v>
      </c>
      <c r="F20" s="41">
        <v>1.67</v>
      </c>
    </row>
    <row r="21" spans="1:6" ht="16.5" customHeight="1" x14ac:dyDescent="0.25">
      <c r="A21" s="28" t="s">
        <v>126</v>
      </c>
      <c r="B21" s="29" t="s">
        <v>127</v>
      </c>
      <c r="C21" s="30">
        <v>102518</v>
      </c>
      <c r="D21" s="31">
        <v>12076620</v>
      </c>
      <c r="E21" s="32">
        <v>1.87</v>
      </c>
      <c r="F21" s="32">
        <v>1.66</v>
      </c>
    </row>
    <row r="22" spans="1:6" ht="16.5" customHeight="1" x14ac:dyDescent="0.25">
      <c r="A22" s="37" t="s">
        <v>110</v>
      </c>
      <c r="B22" s="38" t="s">
        <v>111</v>
      </c>
      <c r="C22" s="39">
        <v>237500</v>
      </c>
      <c r="D22" s="40">
        <v>11566250</v>
      </c>
      <c r="E22" s="41">
        <v>1.79</v>
      </c>
      <c r="F22" s="41">
        <v>1.59</v>
      </c>
    </row>
    <row r="23" spans="1:6" ht="16.5" customHeight="1" x14ac:dyDescent="0.25">
      <c r="A23" s="28" t="s">
        <v>74</v>
      </c>
      <c r="B23" s="29" t="s">
        <v>75</v>
      </c>
      <c r="C23" s="30">
        <v>44763</v>
      </c>
      <c r="D23" s="31">
        <v>11560045</v>
      </c>
      <c r="E23" s="32">
        <v>1.79</v>
      </c>
      <c r="F23" s="32">
        <v>1.59</v>
      </c>
    </row>
    <row r="24" spans="1:6" ht="16.5" customHeight="1" x14ac:dyDescent="0.25">
      <c r="A24" s="37" t="s">
        <v>108</v>
      </c>
      <c r="B24" s="38" t="s">
        <v>109</v>
      </c>
      <c r="C24" s="39">
        <v>36420</v>
      </c>
      <c r="D24" s="40">
        <v>11208255</v>
      </c>
      <c r="E24" s="41">
        <v>1.73</v>
      </c>
      <c r="F24" s="41">
        <v>1.54</v>
      </c>
    </row>
    <row r="25" spans="1:6" ht="16.5" customHeight="1" x14ac:dyDescent="0.25">
      <c r="A25" s="28" t="s">
        <v>104</v>
      </c>
      <c r="B25" s="29" t="s">
        <v>105</v>
      </c>
      <c r="C25" s="30">
        <v>110300</v>
      </c>
      <c r="D25" s="31">
        <v>11151330</v>
      </c>
      <c r="E25" s="32">
        <v>1.72</v>
      </c>
      <c r="F25" s="32">
        <v>1.54</v>
      </c>
    </row>
    <row r="26" spans="1:6" ht="16.5" customHeight="1" x14ac:dyDescent="0.25">
      <c r="A26" s="37" t="s">
        <v>106</v>
      </c>
      <c r="B26" s="38" t="s">
        <v>107</v>
      </c>
      <c r="C26" s="39">
        <v>538800</v>
      </c>
      <c r="D26" s="40">
        <v>10350348</v>
      </c>
      <c r="E26" s="41">
        <v>1.6</v>
      </c>
      <c r="F26" s="41">
        <v>1.42</v>
      </c>
    </row>
    <row r="27" spans="1:6" ht="16.5" customHeight="1" x14ac:dyDescent="0.25">
      <c r="A27" s="28" t="s">
        <v>68</v>
      </c>
      <c r="B27" s="29" t="s">
        <v>69</v>
      </c>
      <c r="C27" s="30">
        <v>306884</v>
      </c>
      <c r="D27" s="31">
        <v>10133310</v>
      </c>
      <c r="E27" s="32">
        <v>1.57</v>
      </c>
      <c r="F27" s="32">
        <v>1.4</v>
      </c>
    </row>
    <row r="28" spans="1:6" ht="16.5" customHeight="1" x14ac:dyDescent="0.25">
      <c r="A28" s="37" t="s">
        <v>72</v>
      </c>
      <c r="B28" s="38" t="s">
        <v>73</v>
      </c>
      <c r="C28" s="39">
        <v>51600</v>
      </c>
      <c r="D28" s="40">
        <v>10051680</v>
      </c>
      <c r="E28" s="41">
        <v>1.55</v>
      </c>
      <c r="F28" s="41">
        <v>1.38</v>
      </c>
    </row>
    <row r="29" spans="1:6" ht="16.5" customHeight="1" x14ac:dyDescent="0.25">
      <c r="A29" s="28" t="s">
        <v>92</v>
      </c>
      <c r="B29" s="29" t="s">
        <v>93</v>
      </c>
      <c r="C29" s="30">
        <v>106400</v>
      </c>
      <c r="D29" s="31">
        <v>9943080</v>
      </c>
      <c r="E29" s="32">
        <v>1.54</v>
      </c>
      <c r="F29" s="32">
        <v>1.37</v>
      </c>
    </row>
    <row r="30" spans="1:6" ht="16.5" customHeight="1" x14ac:dyDescent="0.25">
      <c r="A30" s="37" t="s">
        <v>307</v>
      </c>
      <c r="B30" s="38" t="s">
        <v>308</v>
      </c>
      <c r="C30" s="39">
        <v>121600</v>
      </c>
      <c r="D30" s="40">
        <v>9375360</v>
      </c>
      <c r="E30" s="41">
        <v>1.45</v>
      </c>
      <c r="F30" s="41">
        <v>1.29</v>
      </c>
    </row>
    <row r="31" spans="1:6" ht="16.5" customHeight="1" x14ac:dyDescent="0.25">
      <c r="A31" s="28" t="s">
        <v>124</v>
      </c>
      <c r="B31" s="29" t="s">
        <v>125</v>
      </c>
      <c r="C31" s="30">
        <v>459200</v>
      </c>
      <c r="D31" s="31">
        <v>9170224</v>
      </c>
      <c r="E31" s="32">
        <v>1.42</v>
      </c>
      <c r="F31" s="32">
        <v>1.26</v>
      </c>
    </row>
    <row r="32" spans="1:6" ht="16.5" customHeight="1" x14ac:dyDescent="0.25">
      <c r="A32" s="37" t="s">
        <v>98</v>
      </c>
      <c r="B32" s="38" t="s">
        <v>99</v>
      </c>
      <c r="C32" s="39">
        <v>694959</v>
      </c>
      <c r="D32" s="40">
        <v>9152610</v>
      </c>
      <c r="E32" s="41">
        <v>1.41</v>
      </c>
      <c r="F32" s="41">
        <v>1.26</v>
      </c>
    </row>
    <row r="33" spans="1:6" ht="16.5" customHeight="1" x14ac:dyDescent="0.25">
      <c r="A33" s="28" t="s">
        <v>152</v>
      </c>
      <c r="B33" s="29" t="s">
        <v>272</v>
      </c>
      <c r="C33" s="30">
        <v>255329</v>
      </c>
      <c r="D33" s="31">
        <v>8967154</v>
      </c>
      <c r="E33" s="32">
        <v>1.39</v>
      </c>
      <c r="F33" s="32">
        <v>1.23</v>
      </c>
    </row>
    <row r="34" spans="1:6" ht="16.5" customHeight="1" x14ac:dyDescent="0.25">
      <c r="A34" s="37" t="s">
        <v>76</v>
      </c>
      <c r="B34" s="38" t="s">
        <v>77</v>
      </c>
      <c r="C34" s="39">
        <v>14577</v>
      </c>
      <c r="D34" s="40">
        <v>8782643</v>
      </c>
      <c r="E34" s="41">
        <v>1.36</v>
      </c>
      <c r="F34" s="41">
        <v>1.21</v>
      </c>
    </row>
    <row r="35" spans="1:6" ht="16.5" customHeight="1" x14ac:dyDescent="0.25">
      <c r="A35" s="28" t="s">
        <v>134</v>
      </c>
      <c r="B35" s="29" t="s">
        <v>135</v>
      </c>
      <c r="C35" s="30">
        <v>31760</v>
      </c>
      <c r="D35" s="31">
        <v>8694300</v>
      </c>
      <c r="E35" s="32">
        <v>1.34</v>
      </c>
      <c r="F35" s="32">
        <v>1.2</v>
      </c>
    </row>
    <row r="36" spans="1:6" ht="16.5" customHeight="1" x14ac:dyDescent="0.25">
      <c r="A36" s="37" t="s">
        <v>309</v>
      </c>
      <c r="B36" s="38" t="s">
        <v>310</v>
      </c>
      <c r="C36" s="39">
        <v>78296</v>
      </c>
      <c r="D36" s="40">
        <v>8502946</v>
      </c>
      <c r="E36" s="41">
        <v>1.31</v>
      </c>
      <c r="F36" s="41">
        <v>1.17</v>
      </c>
    </row>
    <row r="37" spans="1:6" ht="16.5" customHeight="1" x14ac:dyDescent="0.25">
      <c r="A37" s="28" t="s">
        <v>148</v>
      </c>
      <c r="B37" s="29" t="s">
        <v>149</v>
      </c>
      <c r="C37" s="30">
        <v>85350</v>
      </c>
      <c r="D37" s="31">
        <v>8364300</v>
      </c>
      <c r="E37" s="32">
        <v>1.29</v>
      </c>
      <c r="F37" s="32">
        <v>1.1499999999999999</v>
      </c>
    </row>
    <row r="38" spans="1:6" ht="16.5" customHeight="1" x14ac:dyDescent="0.25">
      <c r="A38" s="37" t="s">
        <v>140</v>
      </c>
      <c r="B38" s="38" t="s">
        <v>141</v>
      </c>
      <c r="C38" s="39">
        <v>3517184</v>
      </c>
      <c r="D38" s="40">
        <v>8230211</v>
      </c>
      <c r="E38" s="41">
        <v>1.27</v>
      </c>
      <c r="F38" s="41">
        <v>1.1399999999999999</v>
      </c>
    </row>
    <row r="39" spans="1:6" ht="16.5" customHeight="1" x14ac:dyDescent="0.25">
      <c r="A39" s="28" t="s">
        <v>116</v>
      </c>
      <c r="B39" s="29" t="s">
        <v>117</v>
      </c>
      <c r="C39" s="30">
        <v>91287</v>
      </c>
      <c r="D39" s="31">
        <v>8069770</v>
      </c>
      <c r="E39" s="32">
        <v>1.25</v>
      </c>
      <c r="F39" s="32">
        <v>1.1100000000000001</v>
      </c>
    </row>
    <row r="40" spans="1:6" ht="16.5" customHeight="1" x14ac:dyDescent="0.25">
      <c r="A40" s="37" t="s">
        <v>156</v>
      </c>
      <c r="B40" s="38" t="s">
        <v>157</v>
      </c>
      <c r="C40" s="39">
        <v>126446</v>
      </c>
      <c r="D40" s="40">
        <v>7340190</v>
      </c>
      <c r="E40" s="41">
        <v>1.1399999999999999</v>
      </c>
      <c r="F40" s="41">
        <v>1.01</v>
      </c>
    </row>
    <row r="41" spans="1:6" ht="16.5" customHeight="1" x14ac:dyDescent="0.25">
      <c r="A41" s="28" t="s">
        <v>102</v>
      </c>
      <c r="B41" s="29" t="s">
        <v>311</v>
      </c>
      <c r="C41" s="30">
        <v>168812</v>
      </c>
      <c r="D41" s="31">
        <v>7073223</v>
      </c>
      <c r="E41" s="32">
        <v>1.0900000000000001</v>
      </c>
      <c r="F41" s="32">
        <v>0.98</v>
      </c>
    </row>
    <row r="42" spans="1:6" ht="16.5" customHeight="1" x14ac:dyDescent="0.25">
      <c r="A42" s="37" t="s">
        <v>114</v>
      </c>
      <c r="B42" s="38" t="s">
        <v>115</v>
      </c>
      <c r="C42" s="39">
        <v>324839</v>
      </c>
      <c r="D42" s="40">
        <v>6893083</v>
      </c>
      <c r="E42" s="41">
        <v>1.07</v>
      </c>
      <c r="F42" s="41">
        <v>0.95</v>
      </c>
    </row>
    <row r="43" spans="1:6" ht="16.5" customHeight="1" x14ac:dyDescent="0.25">
      <c r="A43" s="28" t="s">
        <v>128</v>
      </c>
      <c r="B43" s="29" t="s">
        <v>129</v>
      </c>
      <c r="C43" s="30">
        <v>124637</v>
      </c>
      <c r="D43" s="31">
        <v>6097242</v>
      </c>
      <c r="E43" s="32">
        <v>0.94</v>
      </c>
      <c r="F43" s="32">
        <v>0.84</v>
      </c>
    </row>
    <row r="44" spans="1:6" ht="16.5" customHeight="1" x14ac:dyDescent="0.25">
      <c r="A44" s="37" t="s">
        <v>160</v>
      </c>
      <c r="B44" s="38" t="s">
        <v>161</v>
      </c>
      <c r="C44" s="39">
        <v>1055300</v>
      </c>
      <c r="D44" s="40">
        <v>6057422</v>
      </c>
      <c r="E44" s="41">
        <v>0.94</v>
      </c>
      <c r="F44" s="41">
        <v>0.84</v>
      </c>
    </row>
    <row r="45" spans="1:6" ht="16.5" customHeight="1" x14ac:dyDescent="0.25">
      <c r="A45" s="28" t="s">
        <v>198</v>
      </c>
      <c r="B45" s="29" t="s">
        <v>199</v>
      </c>
      <c r="C45" s="30">
        <v>507236</v>
      </c>
      <c r="D45" s="31">
        <v>5635392</v>
      </c>
      <c r="E45" s="32">
        <v>0.87</v>
      </c>
      <c r="F45" s="32">
        <v>0.77</v>
      </c>
    </row>
    <row r="46" spans="1:6" ht="16.5" customHeight="1" x14ac:dyDescent="0.25">
      <c r="A46" s="37" t="s">
        <v>312</v>
      </c>
      <c r="B46" s="38" t="s">
        <v>313</v>
      </c>
      <c r="C46" s="39">
        <v>181392</v>
      </c>
      <c r="D46" s="40">
        <v>5068092</v>
      </c>
      <c r="E46" s="41">
        <v>0.78</v>
      </c>
      <c r="F46" s="41">
        <v>0.7</v>
      </c>
    </row>
    <row r="47" spans="1:6" ht="16.5" customHeight="1" x14ac:dyDescent="0.25">
      <c r="A47" s="28" t="s">
        <v>112</v>
      </c>
      <c r="B47" s="29" t="s">
        <v>113</v>
      </c>
      <c r="C47" s="30">
        <v>274481</v>
      </c>
      <c r="D47" s="31">
        <v>4605791</v>
      </c>
      <c r="E47" s="32">
        <v>0.71</v>
      </c>
      <c r="F47" s="32">
        <v>0.63</v>
      </c>
    </row>
    <row r="48" spans="1:6" ht="16.5" customHeight="1" x14ac:dyDescent="0.25">
      <c r="A48" s="37" t="s">
        <v>144</v>
      </c>
      <c r="B48" s="38" t="s">
        <v>145</v>
      </c>
      <c r="C48" s="39">
        <v>26106</v>
      </c>
      <c r="D48" s="40">
        <v>4581603</v>
      </c>
      <c r="E48" s="41">
        <v>0.71</v>
      </c>
      <c r="F48" s="41">
        <v>0.63</v>
      </c>
    </row>
    <row r="49" spans="1:6" ht="16.5" customHeight="1" x14ac:dyDescent="0.25">
      <c r="A49" s="28" t="s">
        <v>118</v>
      </c>
      <c r="B49" s="29" t="s">
        <v>314</v>
      </c>
      <c r="C49" s="30">
        <v>36976</v>
      </c>
      <c r="D49" s="31">
        <v>4400144</v>
      </c>
      <c r="E49" s="32">
        <v>0.68</v>
      </c>
      <c r="F49" s="32">
        <v>0.6</v>
      </c>
    </row>
    <row r="50" spans="1:6" ht="16.5" customHeight="1" x14ac:dyDescent="0.25">
      <c r="A50" s="37" t="s">
        <v>80</v>
      </c>
      <c r="B50" s="38" t="s">
        <v>81</v>
      </c>
      <c r="C50" s="39">
        <v>129241</v>
      </c>
      <c r="D50" s="40">
        <v>3993547</v>
      </c>
      <c r="E50" s="41">
        <v>0.62</v>
      </c>
      <c r="F50" s="41">
        <v>0.55000000000000004</v>
      </c>
    </row>
    <row r="51" spans="1:6" ht="16.5" customHeight="1" x14ac:dyDescent="0.25">
      <c r="A51" s="28" t="s">
        <v>315</v>
      </c>
      <c r="B51" s="29" t="s">
        <v>316</v>
      </c>
      <c r="C51" s="30">
        <v>365528</v>
      </c>
      <c r="D51" s="31">
        <v>3150869</v>
      </c>
      <c r="E51" s="32">
        <v>0.49</v>
      </c>
      <c r="F51" s="32">
        <v>0.43</v>
      </c>
    </row>
    <row r="52" spans="1:6" ht="16.5" customHeight="1" x14ac:dyDescent="0.25">
      <c r="A52" s="37" t="s">
        <v>130</v>
      </c>
      <c r="B52" s="38" t="s">
        <v>131</v>
      </c>
      <c r="C52" s="39">
        <v>121960</v>
      </c>
      <c r="D52" s="40">
        <v>2834350</v>
      </c>
      <c r="E52" s="41">
        <v>0.44</v>
      </c>
      <c r="F52" s="41">
        <v>0.39</v>
      </c>
    </row>
    <row r="53" spans="1:6" ht="16.5" customHeight="1" x14ac:dyDescent="0.25">
      <c r="A53" s="28" t="s">
        <v>122</v>
      </c>
      <c r="B53" s="29" t="s">
        <v>123</v>
      </c>
      <c r="C53" s="30">
        <v>4705</v>
      </c>
      <c r="D53" s="31">
        <v>2226641</v>
      </c>
      <c r="E53" s="32">
        <v>0.34</v>
      </c>
      <c r="F53" s="32">
        <v>0.31</v>
      </c>
    </row>
    <row r="54" spans="1:6" ht="16.5" customHeight="1" x14ac:dyDescent="0.25">
      <c r="A54" s="37" t="s">
        <v>194</v>
      </c>
      <c r="B54" s="38" t="s">
        <v>195</v>
      </c>
      <c r="C54" s="39">
        <v>66420</v>
      </c>
      <c r="D54" s="40">
        <v>1992600</v>
      </c>
      <c r="E54" s="41">
        <v>0.31</v>
      </c>
      <c r="F54" s="41">
        <v>0.27</v>
      </c>
    </row>
    <row r="55" spans="1:6" ht="16.5" customHeight="1" x14ac:dyDescent="0.25">
      <c r="A55" s="28" t="s">
        <v>120</v>
      </c>
      <c r="B55" s="29" t="s">
        <v>121</v>
      </c>
      <c r="C55" s="30">
        <v>14025</v>
      </c>
      <c r="D55" s="31">
        <v>1605863</v>
      </c>
      <c r="E55" s="32">
        <v>0.25</v>
      </c>
      <c r="F55" s="32">
        <v>0.22</v>
      </c>
    </row>
    <row r="56" spans="1:6" ht="19.5" customHeight="1" x14ac:dyDescent="0.25">
      <c r="A56" s="33"/>
      <c r="B56" s="34" t="s">
        <v>210</v>
      </c>
      <c r="C56" s="33"/>
      <c r="D56" s="35">
        <f>SUM(D5:D55)</f>
        <v>627585544</v>
      </c>
      <c r="E56" s="33"/>
      <c r="F56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317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40</v>
      </c>
      <c r="E2" s="44">
        <v>419300578.58999997</v>
      </c>
      <c r="H2" s="45" t="s">
        <v>318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84</v>
      </c>
      <c r="B5" s="9" t="s">
        <v>85</v>
      </c>
      <c r="C5" s="47">
        <v>803336</v>
      </c>
      <c r="D5" s="10">
        <v>71817218</v>
      </c>
      <c r="E5" s="48">
        <v>20.88</v>
      </c>
      <c r="F5" s="48">
        <v>17.13</v>
      </c>
    </row>
    <row r="6" spans="1:8" ht="16.5" customHeight="1" x14ac:dyDescent="0.25">
      <c r="A6" s="2" t="s">
        <v>94</v>
      </c>
      <c r="B6" s="3" t="s">
        <v>95</v>
      </c>
      <c r="C6" s="49">
        <v>510831</v>
      </c>
      <c r="D6" s="4">
        <v>54097009</v>
      </c>
      <c r="E6" s="50">
        <v>15.75</v>
      </c>
      <c r="F6" s="50">
        <v>12.9</v>
      </c>
    </row>
    <row r="7" spans="1:8" ht="16.5" customHeight="1" x14ac:dyDescent="0.25">
      <c r="A7" s="8" t="s">
        <v>96</v>
      </c>
      <c r="B7" s="9" t="s">
        <v>97</v>
      </c>
      <c r="C7" s="47">
        <v>372882</v>
      </c>
      <c r="D7" s="10">
        <v>47168973</v>
      </c>
      <c r="E7" s="48">
        <v>13.74</v>
      </c>
      <c r="F7" s="48">
        <v>11.25</v>
      </c>
    </row>
    <row r="8" spans="1:8" ht="16.5" customHeight="1" x14ac:dyDescent="0.25">
      <c r="A8" s="2" t="s">
        <v>98</v>
      </c>
      <c r="B8" s="3" t="s">
        <v>99</v>
      </c>
      <c r="C8" s="49">
        <v>3097649</v>
      </c>
      <c r="D8" s="4">
        <v>40797354</v>
      </c>
      <c r="E8" s="50">
        <v>11.88</v>
      </c>
      <c r="F8" s="50">
        <v>9.73</v>
      </c>
    </row>
    <row r="9" spans="1:8" ht="16.5" customHeight="1" x14ac:dyDescent="0.25">
      <c r="A9" s="8" t="s">
        <v>108</v>
      </c>
      <c r="B9" s="9" t="s">
        <v>109</v>
      </c>
      <c r="C9" s="47">
        <v>97200</v>
      </c>
      <c r="D9" s="10">
        <v>29913300</v>
      </c>
      <c r="E9" s="48">
        <v>8.7100000000000009</v>
      </c>
      <c r="F9" s="48">
        <v>7.14</v>
      </c>
    </row>
    <row r="10" spans="1:8" ht="16.5" customHeight="1" x14ac:dyDescent="0.25">
      <c r="A10" s="2" t="s">
        <v>86</v>
      </c>
      <c r="B10" s="3" t="s">
        <v>87</v>
      </c>
      <c r="C10" s="49">
        <v>90195</v>
      </c>
      <c r="D10" s="4">
        <v>26539879</v>
      </c>
      <c r="E10" s="50">
        <v>7.73</v>
      </c>
      <c r="F10" s="50">
        <v>6.33</v>
      </c>
    </row>
    <row r="11" spans="1:8" ht="16.5" customHeight="1" x14ac:dyDescent="0.25">
      <c r="A11" s="8" t="s">
        <v>78</v>
      </c>
      <c r="B11" s="9" t="s">
        <v>79</v>
      </c>
      <c r="C11" s="47">
        <v>281708</v>
      </c>
      <c r="D11" s="10">
        <v>18592728</v>
      </c>
      <c r="E11" s="48">
        <v>5.41</v>
      </c>
      <c r="F11" s="48">
        <v>4.43</v>
      </c>
    </row>
    <row r="12" spans="1:8" ht="16.5" customHeight="1" x14ac:dyDescent="0.25">
      <c r="A12" s="2" t="s">
        <v>72</v>
      </c>
      <c r="B12" s="3" t="s">
        <v>73</v>
      </c>
      <c r="C12" s="49">
        <v>75549</v>
      </c>
      <c r="D12" s="4">
        <v>14716945</v>
      </c>
      <c r="E12" s="50">
        <v>4.28</v>
      </c>
      <c r="F12" s="50">
        <v>3.51</v>
      </c>
    </row>
    <row r="13" spans="1:8" ht="16.5" customHeight="1" x14ac:dyDescent="0.25">
      <c r="A13" s="8" t="s">
        <v>110</v>
      </c>
      <c r="B13" s="9" t="s">
        <v>111</v>
      </c>
      <c r="C13" s="47">
        <v>177700</v>
      </c>
      <c r="D13" s="10">
        <v>8654000</v>
      </c>
      <c r="E13" s="48">
        <v>2.52</v>
      </c>
      <c r="F13" s="48">
        <v>2.06</v>
      </c>
    </row>
    <row r="14" spans="1:8" ht="16.5" customHeight="1" x14ac:dyDescent="0.25">
      <c r="A14" s="2" t="s">
        <v>124</v>
      </c>
      <c r="B14" s="3" t="s">
        <v>125</v>
      </c>
      <c r="C14" s="49">
        <v>315166</v>
      </c>
      <c r="D14" s="4">
        <v>6293865</v>
      </c>
      <c r="E14" s="50">
        <v>1.83</v>
      </c>
      <c r="F14" s="50">
        <v>1.5</v>
      </c>
    </row>
    <row r="15" spans="1:8" ht="16.5" customHeight="1" x14ac:dyDescent="0.25">
      <c r="A15" s="8" t="s">
        <v>74</v>
      </c>
      <c r="B15" s="9" t="s">
        <v>75</v>
      </c>
      <c r="C15" s="47">
        <v>20394</v>
      </c>
      <c r="D15" s="10">
        <v>5266750</v>
      </c>
      <c r="E15" s="48">
        <v>1.53</v>
      </c>
      <c r="F15" s="48">
        <v>1.26</v>
      </c>
    </row>
    <row r="16" spans="1:8" ht="16.5" customHeight="1" x14ac:dyDescent="0.25">
      <c r="A16" s="2" t="s">
        <v>112</v>
      </c>
      <c r="B16" s="3" t="s">
        <v>113</v>
      </c>
      <c r="C16" s="49">
        <v>283495</v>
      </c>
      <c r="D16" s="4">
        <v>4757046</v>
      </c>
      <c r="E16" s="50">
        <v>1.39</v>
      </c>
      <c r="F16" s="50">
        <v>1.1299999999999999</v>
      </c>
    </row>
    <row r="17" spans="1:6" ht="16.5" customHeight="1" x14ac:dyDescent="0.25">
      <c r="A17" s="8" t="s">
        <v>160</v>
      </c>
      <c r="B17" s="9" t="s">
        <v>161</v>
      </c>
      <c r="C17" s="47">
        <v>265400</v>
      </c>
      <c r="D17" s="10">
        <v>1523396</v>
      </c>
      <c r="E17" s="48">
        <v>0.44</v>
      </c>
      <c r="F17" s="48">
        <v>0.36</v>
      </c>
    </row>
    <row r="18" spans="1:6" ht="16.5" customHeight="1" x14ac:dyDescent="0.25">
      <c r="A18" s="2" t="s">
        <v>68</v>
      </c>
      <c r="B18" s="3" t="s">
        <v>69</v>
      </c>
      <c r="C18" s="49">
        <v>36052</v>
      </c>
      <c r="D18" s="4">
        <v>1190437</v>
      </c>
      <c r="E18" s="50">
        <v>0.35</v>
      </c>
      <c r="F18" s="50">
        <v>0.28000000000000003</v>
      </c>
    </row>
    <row r="19" spans="1:6" ht="19.5" customHeight="1" x14ac:dyDescent="0.25">
      <c r="A19" s="33"/>
      <c r="B19" s="51" t="s">
        <v>210</v>
      </c>
      <c r="C19" s="33"/>
      <c r="D19" s="52">
        <f>SUM(D5:D18)</f>
        <v>331328900</v>
      </c>
      <c r="E19" s="33"/>
      <c r="F19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319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44</v>
      </c>
      <c r="E2" s="44">
        <v>100698268.42</v>
      </c>
      <c r="H2" s="53" t="s">
        <v>320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162</v>
      </c>
      <c r="B5" s="9" t="s">
        <v>163</v>
      </c>
      <c r="C5" s="47">
        <v>140625</v>
      </c>
      <c r="D5" s="10">
        <v>8655469</v>
      </c>
      <c r="E5" s="48">
        <v>9.84</v>
      </c>
      <c r="F5" s="48">
        <v>8.6</v>
      </c>
    </row>
    <row r="6" spans="1:8" ht="16.5" customHeight="1" x14ac:dyDescent="0.25">
      <c r="A6" s="2" t="s">
        <v>126</v>
      </c>
      <c r="B6" s="3" t="s">
        <v>127</v>
      </c>
      <c r="C6" s="49">
        <v>72000</v>
      </c>
      <c r="D6" s="4">
        <v>8481600</v>
      </c>
      <c r="E6" s="50">
        <v>9.65</v>
      </c>
      <c r="F6" s="50">
        <v>8.42</v>
      </c>
    </row>
    <row r="7" spans="1:8" ht="16.5" customHeight="1" x14ac:dyDescent="0.25">
      <c r="A7" s="8" t="s">
        <v>112</v>
      </c>
      <c r="B7" s="9" t="s">
        <v>113</v>
      </c>
      <c r="C7" s="47">
        <v>490000</v>
      </c>
      <c r="D7" s="10">
        <v>8222200</v>
      </c>
      <c r="E7" s="48">
        <v>9.35</v>
      </c>
      <c r="F7" s="48">
        <v>8.17</v>
      </c>
    </row>
    <row r="8" spans="1:8" ht="16.5" customHeight="1" x14ac:dyDescent="0.25">
      <c r="A8" s="2" t="s">
        <v>321</v>
      </c>
      <c r="B8" s="3" t="s">
        <v>322</v>
      </c>
      <c r="C8" s="49">
        <v>451900</v>
      </c>
      <c r="D8" s="4">
        <v>5454433</v>
      </c>
      <c r="E8" s="50">
        <v>6.2</v>
      </c>
      <c r="F8" s="50">
        <v>5.42</v>
      </c>
    </row>
    <row r="9" spans="1:8" ht="16.5" customHeight="1" x14ac:dyDescent="0.25">
      <c r="A9" s="8" t="s">
        <v>96</v>
      </c>
      <c r="B9" s="9" t="s">
        <v>97</v>
      </c>
      <c r="C9" s="47">
        <v>39473</v>
      </c>
      <c r="D9" s="10">
        <v>4993335</v>
      </c>
      <c r="E9" s="48">
        <v>5.68</v>
      </c>
      <c r="F9" s="48">
        <v>4.96</v>
      </c>
    </row>
    <row r="10" spans="1:8" ht="16.5" customHeight="1" x14ac:dyDescent="0.25">
      <c r="A10" s="2" t="s">
        <v>323</v>
      </c>
      <c r="B10" s="3" t="s">
        <v>324</v>
      </c>
      <c r="C10" s="49">
        <v>68500</v>
      </c>
      <c r="D10" s="4">
        <v>4914875</v>
      </c>
      <c r="E10" s="50">
        <v>5.59</v>
      </c>
      <c r="F10" s="50">
        <v>4.88</v>
      </c>
    </row>
    <row r="11" spans="1:8" ht="16.5" customHeight="1" x14ac:dyDescent="0.25">
      <c r="A11" s="8" t="s">
        <v>325</v>
      </c>
      <c r="B11" s="9" t="s">
        <v>326</v>
      </c>
      <c r="C11" s="47">
        <v>57455</v>
      </c>
      <c r="D11" s="10">
        <v>4906657</v>
      </c>
      <c r="E11" s="48">
        <v>5.58</v>
      </c>
      <c r="F11" s="48">
        <v>4.87</v>
      </c>
    </row>
    <row r="12" spans="1:8" ht="16.5" customHeight="1" x14ac:dyDescent="0.25">
      <c r="A12" s="2" t="s">
        <v>164</v>
      </c>
      <c r="B12" s="3" t="s">
        <v>165</v>
      </c>
      <c r="C12" s="49">
        <v>549718</v>
      </c>
      <c r="D12" s="4">
        <v>4875999</v>
      </c>
      <c r="E12" s="50">
        <v>5.55</v>
      </c>
      <c r="F12" s="50">
        <v>4.84</v>
      </c>
    </row>
    <row r="13" spans="1:8" ht="16.5" customHeight="1" x14ac:dyDescent="0.25">
      <c r="A13" s="8" t="s">
        <v>166</v>
      </c>
      <c r="B13" s="9" t="s">
        <v>167</v>
      </c>
      <c r="C13" s="47">
        <v>111000</v>
      </c>
      <c r="D13" s="10">
        <v>4790760</v>
      </c>
      <c r="E13" s="48">
        <v>5.45</v>
      </c>
      <c r="F13" s="48">
        <v>4.76</v>
      </c>
    </row>
    <row r="14" spans="1:8" ht="16.5" customHeight="1" x14ac:dyDescent="0.25">
      <c r="A14" s="2" t="s">
        <v>68</v>
      </c>
      <c r="B14" s="3" t="s">
        <v>69</v>
      </c>
      <c r="C14" s="49">
        <v>132950</v>
      </c>
      <c r="D14" s="4">
        <v>4390009</v>
      </c>
      <c r="E14" s="50">
        <v>4.99</v>
      </c>
      <c r="F14" s="50">
        <v>4.3600000000000003</v>
      </c>
    </row>
    <row r="15" spans="1:8" ht="16.5" customHeight="1" x14ac:dyDescent="0.25">
      <c r="A15" s="8" t="s">
        <v>168</v>
      </c>
      <c r="B15" s="9" t="s">
        <v>169</v>
      </c>
      <c r="C15" s="47">
        <v>150000</v>
      </c>
      <c r="D15" s="10">
        <v>4113000</v>
      </c>
      <c r="E15" s="48">
        <v>4.68</v>
      </c>
      <c r="F15" s="48">
        <v>4.08</v>
      </c>
    </row>
    <row r="16" spans="1:8" ht="16.5" customHeight="1" x14ac:dyDescent="0.25">
      <c r="A16" s="2" t="s">
        <v>327</v>
      </c>
      <c r="B16" s="3" t="s">
        <v>328</v>
      </c>
      <c r="C16" s="49">
        <v>58000</v>
      </c>
      <c r="D16" s="4">
        <v>4086100</v>
      </c>
      <c r="E16" s="50">
        <v>4.6500000000000004</v>
      </c>
      <c r="F16" s="50">
        <v>4.0599999999999996</v>
      </c>
    </row>
    <row r="17" spans="1:6" ht="16.5" customHeight="1" x14ac:dyDescent="0.25">
      <c r="A17" s="8" t="s">
        <v>128</v>
      </c>
      <c r="B17" s="9" t="s">
        <v>129</v>
      </c>
      <c r="C17" s="47">
        <v>73467</v>
      </c>
      <c r="D17" s="10">
        <v>3594006</v>
      </c>
      <c r="E17" s="48">
        <v>4.09</v>
      </c>
      <c r="F17" s="48">
        <v>3.57</v>
      </c>
    </row>
    <row r="18" spans="1:6" ht="16.5" customHeight="1" x14ac:dyDescent="0.25">
      <c r="A18" s="2" t="s">
        <v>329</v>
      </c>
      <c r="B18" s="3" t="s">
        <v>330</v>
      </c>
      <c r="C18" s="49">
        <v>1000000</v>
      </c>
      <c r="D18" s="4">
        <v>3410000</v>
      </c>
      <c r="E18" s="50">
        <v>3.88</v>
      </c>
      <c r="F18" s="50">
        <v>3.39</v>
      </c>
    </row>
    <row r="19" spans="1:6" ht="16.5" customHeight="1" x14ac:dyDescent="0.25">
      <c r="A19" s="8" t="s">
        <v>76</v>
      </c>
      <c r="B19" s="9" t="s">
        <v>77</v>
      </c>
      <c r="C19" s="47">
        <v>5650</v>
      </c>
      <c r="D19" s="10">
        <v>3404125</v>
      </c>
      <c r="E19" s="48">
        <v>3.87</v>
      </c>
      <c r="F19" s="48">
        <v>3.38</v>
      </c>
    </row>
    <row r="20" spans="1:6" ht="16.5" customHeight="1" x14ac:dyDescent="0.25">
      <c r="A20" s="2" t="s">
        <v>130</v>
      </c>
      <c r="B20" s="3" t="s">
        <v>131</v>
      </c>
      <c r="C20" s="49">
        <v>143400</v>
      </c>
      <c r="D20" s="4">
        <v>3332616</v>
      </c>
      <c r="E20" s="50">
        <v>3.79</v>
      </c>
      <c r="F20" s="50">
        <v>3.31</v>
      </c>
    </row>
    <row r="21" spans="1:6" ht="16.5" customHeight="1" x14ac:dyDescent="0.25">
      <c r="A21" s="8" t="s">
        <v>100</v>
      </c>
      <c r="B21" s="9" t="s">
        <v>101</v>
      </c>
      <c r="C21" s="47">
        <v>7780</v>
      </c>
      <c r="D21" s="10">
        <v>3310390</v>
      </c>
      <c r="E21" s="48">
        <v>3.77</v>
      </c>
      <c r="F21" s="48">
        <v>3.29</v>
      </c>
    </row>
    <row r="22" spans="1:6" ht="16.5" customHeight="1" x14ac:dyDescent="0.25">
      <c r="A22" s="2" t="s">
        <v>72</v>
      </c>
      <c r="B22" s="3" t="s">
        <v>73</v>
      </c>
      <c r="C22" s="49">
        <v>15300</v>
      </c>
      <c r="D22" s="4">
        <v>2980440</v>
      </c>
      <c r="E22" s="50">
        <v>3.39</v>
      </c>
      <c r="F22" s="50">
        <v>2.96</v>
      </c>
    </row>
    <row r="23" spans="1:6" ht="19.5" customHeight="1" x14ac:dyDescent="0.25">
      <c r="A23" s="33"/>
      <c r="B23" s="51" t="s">
        <v>210</v>
      </c>
      <c r="C23" s="33"/>
      <c r="D23" s="52">
        <f>SUM(D5:D22)</f>
        <v>87916014</v>
      </c>
      <c r="E23" s="33"/>
      <c r="F23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331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48</v>
      </c>
      <c r="E2" s="44">
        <v>1164670121.5699999</v>
      </c>
      <c r="H2" s="53" t="s">
        <v>332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74</v>
      </c>
      <c r="B5" s="9" t="s">
        <v>75</v>
      </c>
      <c r="C5" s="47">
        <v>450000</v>
      </c>
      <c r="D5" s="10">
        <v>116212500</v>
      </c>
      <c r="E5" s="48">
        <v>11.22</v>
      </c>
      <c r="F5" s="48">
        <v>9.98</v>
      </c>
    </row>
    <row r="6" spans="1:8" ht="16.5" customHeight="1" x14ac:dyDescent="0.25">
      <c r="A6" s="2" t="s">
        <v>84</v>
      </c>
      <c r="B6" s="3" t="s">
        <v>85</v>
      </c>
      <c r="C6" s="49">
        <v>900000</v>
      </c>
      <c r="D6" s="4">
        <v>80460000</v>
      </c>
      <c r="E6" s="50">
        <v>7.77</v>
      </c>
      <c r="F6" s="50">
        <v>6.91</v>
      </c>
    </row>
    <row r="7" spans="1:8" ht="16.5" customHeight="1" x14ac:dyDescent="0.25">
      <c r="A7" s="8" t="s">
        <v>70</v>
      </c>
      <c r="B7" s="9" t="s">
        <v>71</v>
      </c>
      <c r="C7" s="47">
        <v>250000</v>
      </c>
      <c r="D7" s="10">
        <v>80062500</v>
      </c>
      <c r="E7" s="48">
        <v>7.74</v>
      </c>
      <c r="F7" s="48">
        <v>6.87</v>
      </c>
    </row>
    <row r="8" spans="1:8" ht="16.5" customHeight="1" x14ac:dyDescent="0.25">
      <c r="A8" s="2" t="s">
        <v>88</v>
      </c>
      <c r="B8" s="3" t="s">
        <v>89</v>
      </c>
      <c r="C8" s="49">
        <v>90000</v>
      </c>
      <c r="D8" s="4">
        <v>61470000</v>
      </c>
      <c r="E8" s="50">
        <v>5.94</v>
      </c>
      <c r="F8" s="50">
        <v>5.28</v>
      </c>
    </row>
    <row r="9" spans="1:8" ht="16.5" customHeight="1" x14ac:dyDescent="0.25">
      <c r="A9" s="8" t="s">
        <v>76</v>
      </c>
      <c r="B9" s="9" t="s">
        <v>77</v>
      </c>
      <c r="C9" s="47">
        <v>100000</v>
      </c>
      <c r="D9" s="10">
        <v>60250000</v>
      </c>
      <c r="E9" s="48">
        <v>5.82</v>
      </c>
      <c r="F9" s="48">
        <v>5.17</v>
      </c>
    </row>
    <row r="10" spans="1:8" ht="16.5" customHeight="1" x14ac:dyDescent="0.25">
      <c r="A10" s="2" t="s">
        <v>114</v>
      </c>
      <c r="B10" s="3" t="s">
        <v>115</v>
      </c>
      <c r="C10" s="49">
        <v>2500000</v>
      </c>
      <c r="D10" s="4">
        <v>53050000</v>
      </c>
      <c r="E10" s="50">
        <v>5.12</v>
      </c>
      <c r="F10" s="50">
        <v>4.55</v>
      </c>
    </row>
    <row r="11" spans="1:8" ht="16.5" customHeight="1" x14ac:dyDescent="0.25">
      <c r="A11" s="8" t="s">
        <v>170</v>
      </c>
      <c r="B11" s="9" t="s">
        <v>171</v>
      </c>
      <c r="C11" s="47">
        <v>1900000</v>
      </c>
      <c r="D11" s="10">
        <v>51794000</v>
      </c>
      <c r="E11" s="48">
        <v>5</v>
      </c>
      <c r="F11" s="48">
        <v>4.45</v>
      </c>
    </row>
    <row r="12" spans="1:8" ht="16.5" customHeight="1" x14ac:dyDescent="0.25">
      <c r="A12" s="2" t="s">
        <v>80</v>
      </c>
      <c r="B12" s="3" t="s">
        <v>81</v>
      </c>
      <c r="C12" s="49">
        <v>1500000</v>
      </c>
      <c r="D12" s="4">
        <v>46350000</v>
      </c>
      <c r="E12" s="50">
        <v>4.4800000000000004</v>
      </c>
      <c r="F12" s="50">
        <v>3.98</v>
      </c>
    </row>
    <row r="13" spans="1:8" ht="16.5" customHeight="1" x14ac:dyDescent="0.25">
      <c r="A13" s="8" t="s">
        <v>132</v>
      </c>
      <c r="B13" s="9" t="s">
        <v>133</v>
      </c>
      <c r="C13" s="47">
        <v>1475000</v>
      </c>
      <c r="D13" s="10">
        <v>43925500</v>
      </c>
      <c r="E13" s="48">
        <v>4.24</v>
      </c>
      <c r="F13" s="48">
        <v>3.77</v>
      </c>
    </row>
    <row r="14" spans="1:8" ht="16.5" customHeight="1" x14ac:dyDescent="0.25">
      <c r="A14" s="2" t="s">
        <v>82</v>
      </c>
      <c r="B14" s="3" t="s">
        <v>83</v>
      </c>
      <c r="C14" s="49">
        <v>1500000</v>
      </c>
      <c r="D14" s="4">
        <v>42330000</v>
      </c>
      <c r="E14" s="50">
        <v>4.09</v>
      </c>
      <c r="F14" s="50">
        <v>3.64</v>
      </c>
    </row>
    <row r="15" spans="1:8" ht="16.5" customHeight="1" x14ac:dyDescent="0.25">
      <c r="A15" s="8" t="s">
        <v>90</v>
      </c>
      <c r="B15" s="9" t="s">
        <v>91</v>
      </c>
      <c r="C15" s="47">
        <v>200000</v>
      </c>
      <c r="D15" s="10">
        <v>39000000</v>
      </c>
      <c r="E15" s="48">
        <v>3.77</v>
      </c>
      <c r="F15" s="48">
        <v>3.35</v>
      </c>
    </row>
    <row r="16" spans="1:8" ht="16.5" customHeight="1" x14ac:dyDescent="0.25">
      <c r="A16" s="2" t="s">
        <v>72</v>
      </c>
      <c r="B16" s="3" t="s">
        <v>73</v>
      </c>
      <c r="C16" s="49">
        <v>200000</v>
      </c>
      <c r="D16" s="4">
        <v>38960000</v>
      </c>
      <c r="E16" s="50">
        <v>3.76</v>
      </c>
      <c r="F16" s="50">
        <v>3.35</v>
      </c>
    </row>
    <row r="17" spans="1:6" ht="16.5" customHeight="1" x14ac:dyDescent="0.25">
      <c r="A17" s="8" t="s">
        <v>116</v>
      </c>
      <c r="B17" s="9" t="s">
        <v>117</v>
      </c>
      <c r="C17" s="47">
        <v>400000</v>
      </c>
      <c r="D17" s="10">
        <v>35360000</v>
      </c>
      <c r="E17" s="48">
        <v>3.42</v>
      </c>
      <c r="F17" s="48">
        <v>3.04</v>
      </c>
    </row>
    <row r="18" spans="1:6" ht="16.5" customHeight="1" x14ac:dyDescent="0.25">
      <c r="A18" s="2" t="s">
        <v>172</v>
      </c>
      <c r="B18" s="3" t="s">
        <v>173</v>
      </c>
      <c r="C18" s="49">
        <v>750000</v>
      </c>
      <c r="D18" s="4">
        <v>30270000</v>
      </c>
      <c r="E18" s="50">
        <v>2.92</v>
      </c>
      <c r="F18" s="50">
        <v>2.6</v>
      </c>
    </row>
    <row r="19" spans="1:6" ht="16.5" customHeight="1" x14ac:dyDescent="0.25">
      <c r="A19" s="8" t="s">
        <v>333</v>
      </c>
      <c r="B19" s="9" t="s">
        <v>334</v>
      </c>
      <c r="C19" s="47">
        <v>598699</v>
      </c>
      <c r="D19" s="10">
        <v>29623627</v>
      </c>
      <c r="E19" s="48">
        <v>2.86</v>
      </c>
      <c r="F19" s="48">
        <v>2.54</v>
      </c>
    </row>
    <row r="20" spans="1:6" ht="16.5" customHeight="1" x14ac:dyDescent="0.25">
      <c r="A20" s="2" t="s">
        <v>92</v>
      </c>
      <c r="B20" s="3" t="s">
        <v>93</v>
      </c>
      <c r="C20" s="49">
        <v>300000</v>
      </c>
      <c r="D20" s="4">
        <v>28035000</v>
      </c>
      <c r="E20" s="50">
        <v>2.71</v>
      </c>
      <c r="F20" s="50">
        <v>2.41</v>
      </c>
    </row>
    <row r="21" spans="1:6" ht="16.5" customHeight="1" x14ac:dyDescent="0.25">
      <c r="A21" s="8" t="s">
        <v>134</v>
      </c>
      <c r="B21" s="9" t="s">
        <v>135</v>
      </c>
      <c r="C21" s="47">
        <v>100000</v>
      </c>
      <c r="D21" s="10">
        <v>27375000</v>
      </c>
      <c r="E21" s="48">
        <v>2.64</v>
      </c>
      <c r="F21" s="48">
        <v>2.35</v>
      </c>
    </row>
    <row r="22" spans="1:6" ht="16.5" customHeight="1" x14ac:dyDescent="0.25">
      <c r="A22" s="2" t="s">
        <v>136</v>
      </c>
      <c r="B22" s="3" t="s">
        <v>137</v>
      </c>
      <c r="C22" s="49">
        <v>75000</v>
      </c>
      <c r="D22" s="4">
        <v>27300000</v>
      </c>
      <c r="E22" s="50">
        <v>2.64</v>
      </c>
      <c r="F22" s="50">
        <v>2.34</v>
      </c>
    </row>
    <row r="23" spans="1:6" ht="16.5" customHeight="1" x14ac:dyDescent="0.25">
      <c r="A23" s="8" t="s">
        <v>110</v>
      </c>
      <c r="B23" s="9" t="s">
        <v>111</v>
      </c>
      <c r="C23" s="47">
        <v>500000</v>
      </c>
      <c r="D23" s="10">
        <v>24350000</v>
      </c>
      <c r="E23" s="48">
        <v>2.35</v>
      </c>
      <c r="F23" s="48">
        <v>2.09</v>
      </c>
    </row>
    <row r="24" spans="1:6" ht="16.5" customHeight="1" x14ac:dyDescent="0.25">
      <c r="A24" s="2" t="s">
        <v>174</v>
      </c>
      <c r="B24" s="3" t="s">
        <v>175</v>
      </c>
      <c r="C24" s="49">
        <v>2000000</v>
      </c>
      <c r="D24" s="4">
        <v>21660000</v>
      </c>
      <c r="E24" s="50">
        <v>2.09</v>
      </c>
      <c r="F24" s="50">
        <v>1.86</v>
      </c>
    </row>
    <row r="25" spans="1:6" ht="16.5" customHeight="1" x14ac:dyDescent="0.25">
      <c r="A25" s="8" t="s">
        <v>102</v>
      </c>
      <c r="B25" s="9" t="s">
        <v>103</v>
      </c>
      <c r="C25" s="47">
        <v>500000</v>
      </c>
      <c r="D25" s="10">
        <v>20950000</v>
      </c>
      <c r="E25" s="48">
        <v>2.02</v>
      </c>
      <c r="F25" s="48">
        <v>1.8</v>
      </c>
    </row>
    <row r="26" spans="1:6" ht="16.5" customHeight="1" x14ac:dyDescent="0.25">
      <c r="A26" s="2" t="s">
        <v>335</v>
      </c>
      <c r="B26" s="3" t="s">
        <v>336</v>
      </c>
      <c r="C26" s="49">
        <v>500000</v>
      </c>
      <c r="D26" s="4">
        <v>20860000</v>
      </c>
      <c r="E26" s="50">
        <v>2.02</v>
      </c>
      <c r="F26" s="50">
        <v>1.79</v>
      </c>
    </row>
    <row r="27" spans="1:6" ht="16.5" customHeight="1" x14ac:dyDescent="0.25">
      <c r="A27" s="8" t="s">
        <v>104</v>
      </c>
      <c r="B27" s="9" t="s">
        <v>105</v>
      </c>
      <c r="C27" s="47">
        <v>200000</v>
      </c>
      <c r="D27" s="10">
        <v>20220000</v>
      </c>
      <c r="E27" s="48">
        <v>1.95</v>
      </c>
      <c r="F27" s="48">
        <v>1.74</v>
      </c>
    </row>
    <row r="28" spans="1:6" ht="16.5" customHeight="1" x14ac:dyDescent="0.25">
      <c r="A28" s="2" t="s">
        <v>337</v>
      </c>
      <c r="B28" s="3" t="s">
        <v>338</v>
      </c>
      <c r="C28" s="49">
        <v>100000</v>
      </c>
      <c r="D28" s="4">
        <v>19920000</v>
      </c>
      <c r="E28" s="50">
        <v>1.92</v>
      </c>
      <c r="F28" s="50">
        <v>1.71</v>
      </c>
    </row>
    <row r="29" spans="1:6" ht="16.5" customHeight="1" x14ac:dyDescent="0.25">
      <c r="A29" s="8" t="s">
        <v>108</v>
      </c>
      <c r="B29" s="9" t="s">
        <v>109</v>
      </c>
      <c r="C29" s="47">
        <v>50000</v>
      </c>
      <c r="D29" s="10">
        <v>15387500</v>
      </c>
      <c r="E29" s="48">
        <v>1.49</v>
      </c>
      <c r="F29" s="48">
        <v>1.32</v>
      </c>
    </row>
    <row r="30" spans="1:6" ht="19.5" customHeight="1" x14ac:dyDescent="0.25">
      <c r="A30" s="33"/>
      <c r="B30" s="51" t="s">
        <v>210</v>
      </c>
      <c r="C30" s="33"/>
      <c r="D30" s="52">
        <f>SUM(D5:D29)</f>
        <v>1035175627</v>
      </c>
      <c r="E30" s="33"/>
      <c r="F30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339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52</v>
      </c>
      <c r="E2" s="44">
        <v>20874300023.599998</v>
      </c>
      <c r="H2" s="45" t="s">
        <v>340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341</v>
      </c>
      <c r="B5" s="9" t="s">
        <v>342</v>
      </c>
      <c r="C5" s="47">
        <v>1918983</v>
      </c>
      <c r="D5" s="10">
        <v>1669515210</v>
      </c>
      <c r="E5" s="48">
        <v>10.029999999999999</v>
      </c>
      <c r="F5" s="48">
        <v>8</v>
      </c>
    </row>
    <row r="6" spans="1:8" ht="16.5" customHeight="1" x14ac:dyDescent="0.25">
      <c r="A6" s="2" t="s">
        <v>343</v>
      </c>
      <c r="B6" s="3" t="s">
        <v>344</v>
      </c>
      <c r="C6" s="49">
        <v>1875500</v>
      </c>
      <c r="D6" s="4">
        <v>1594175000</v>
      </c>
      <c r="E6" s="50">
        <v>9.59</v>
      </c>
      <c r="F6" s="50">
        <v>7.64</v>
      </c>
    </row>
    <row r="7" spans="1:8" ht="16.5" customHeight="1" x14ac:dyDescent="0.25">
      <c r="A7" s="8" t="s">
        <v>345</v>
      </c>
      <c r="B7" s="9" t="s">
        <v>346</v>
      </c>
      <c r="C7" s="47">
        <v>12544993</v>
      </c>
      <c r="D7" s="10">
        <v>1539270641</v>
      </c>
      <c r="E7" s="48">
        <v>9.26</v>
      </c>
      <c r="F7" s="48">
        <v>7.37</v>
      </c>
    </row>
    <row r="8" spans="1:8" ht="16.5" customHeight="1" x14ac:dyDescent="0.25">
      <c r="A8" s="2" t="s">
        <v>138</v>
      </c>
      <c r="B8" s="3" t="s">
        <v>139</v>
      </c>
      <c r="C8" s="49">
        <v>3957292</v>
      </c>
      <c r="D8" s="4">
        <v>1404838660</v>
      </c>
      <c r="E8" s="50">
        <v>8.4499999999999993</v>
      </c>
      <c r="F8" s="50">
        <v>6.73</v>
      </c>
    </row>
    <row r="9" spans="1:8" ht="16.5" customHeight="1" x14ac:dyDescent="0.25">
      <c r="A9" s="8" t="s">
        <v>86</v>
      </c>
      <c r="B9" s="9" t="s">
        <v>87</v>
      </c>
      <c r="C9" s="47">
        <v>3662899</v>
      </c>
      <c r="D9" s="10">
        <v>1077808031</v>
      </c>
      <c r="E9" s="48">
        <v>6.48</v>
      </c>
      <c r="F9" s="48">
        <v>5.16</v>
      </c>
    </row>
    <row r="10" spans="1:8" ht="16.5" customHeight="1" x14ac:dyDescent="0.25">
      <c r="A10" s="2" t="s">
        <v>347</v>
      </c>
      <c r="B10" s="3" t="s">
        <v>348</v>
      </c>
      <c r="C10" s="49">
        <v>11908930</v>
      </c>
      <c r="D10" s="4">
        <v>931278326</v>
      </c>
      <c r="E10" s="50">
        <v>5.6</v>
      </c>
      <c r="F10" s="50">
        <v>4.46</v>
      </c>
    </row>
    <row r="11" spans="1:8" ht="16.5" customHeight="1" x14ac:dyDescent="0.25">
      <c r="A11" s="8" t="s">
        <v>140</v>
      </c>
      <c r="B11" s="9" t="s">
        <v>141</v>
      </c>
      <c r="C11" s="47">
        <v>356079813</v>
      </c>
      <c r="D11" s="10">
        <v>833226762</v>
      </c>
      <c r="E11" s="48">
        <v>5.01</v>
      </c>
      <c r="F11" s="48">
        <v>4</v>
      </c>
    </row>
    <row r="12" spans="1:8" ht="16.5" customHeight="1" x14ac:dyDescent="0.25">
      <c r="A12" s="2" t="s">
        <v>176</v>
      </c>
      <c r="B12" s="3" t="s">
        <v>177</v>
      </c>
      <c r="C12" s="49">
        <v>57831574</v>
      </c>
      <c r="D12" s="4">
        <v>832774666</v>
      </c>
      <c r="E12" s="50">
        <v>5.01</v>
      </c>
      <c r="F12" s="50">
        <v>3.99</v>
      </c>
    </row>
    <row r="13" spans="1:8" ht="16.5" customHeight="1" x14ac:dyDescent="0.25">
      <c r="A13" s="8" t="s">
        <v>94</v>
      </c>
      <c r="B13" s="9" t="s">
        <v>95</v>
      </c>
      <c r="C13" s="47">
        <v>7336984</v>
      </c>
      <c r="D13" s="10">
        <v>776986606</v>
      </c>
      <c r="E13" s="48">
        <v>4.67</v>
      </c>
      <c r="F13" s="48">
        <v>3.72</v>
      </c>
    </row>
    <row r="14" spans="1:8" ht="16.5" customHeight="1" x14ac:dyDescent="0.25">
      <c r="A14" s="2" t="s">
        <v>76</v>
      </c>
      <c r="B14" s="3" t="s">
        <v>77</v>
      </c>
      <c r="C14" s="49">
        <v>1225545</v>
      </c>
      <c r="D14" s="4">
        <v>738390863</v>
      </c>
      <c r="E14" s="50">
        <v>4.4400000000000004</v>
      </c>
      <c r="F14" s="50">
        <v>3.54</v>
      </c>
    </row>
    <row r="15" spans="1:8" ht="16.5" customHeight="1" x14ac:dyDescent="0.25">
      <c r="A15" s="8" t="s">
        <v>142</v>
      </c>
      <c r="B15" s="9" t="s">
        <v>143</v>
      </c>
      <c r="C15" s="47">
        <v>43155000</v>
      </c>
      <c r="D15" s="10">
        <v>617116500</v>
      </c>
      <c r="E15" s="48">
        <v>3.71</v>
      </c>
      <c r="F15" s="48">
        <v>2.96</v>
      </c>
    </row>
    <row r="16" spans="1:8" ht="16.5" customHeight="1" x14ac:dyDescent="0.25">
      <c r="A16" s="2" t="s">
        <v>349</v>
      </c>
      <c r="B16" s="3" t="s">
        <v>350</v>
      </c>
      <c r="C16" s="49">
        <v>4899925</v>
      </c>
      <c r="D16" s="4">
        <v>607590700</v>
      </c>
      <c r="E16" s="50">
        <v>3.65</v>
      </c>
      <c r="F16" s="50">
        <v>2.91</v>
      </c>
    </row>
    <row r="17" spans="1:6" ht="16.5" customHeight="1" x14ac:dyDescent="0.25">
      <c r="A17" s="8" t="s">
        <v>351</v>
      </c>
      <c r="B17" s="9" t="s">
        <v>352</v>
      </c>
      <c r="C17" s="47">
        <v>42859043</v>
      </c>
      <c r="D17" s="10">
        <v>497593489</v>
      </c>
      <c r="E17" s="48">
        <v>2.99</v>
      </c>
      <c r="F17" s="48">
        <v>2.38</v>
      </c>
    </row>
    <row r="18" spans="1:6" ht="16.5" customHeight="1" x14ac:dyDescent="0.25">
      <c r="A18" s="2" t="s">
        <v>353</v>
      </c>
      <c r="B18" s="3" t="s">
        <v>354</v>
      </c>
      <c r="C18" s="49">
        <v>1380000</v>
      </c>
      <c r="D18" s="4">
        <v>452640000</v>
      </c>
      <c r="E18" s="50">
        <v>2.72</v>
      </c>
      <c r="F18" s="50">
        <v>2.17</v>
      </c>
    </row>
    <row r="19" spans="1:6" ht="16.5" customHeight="1" x14ac:dyDescent="0.25">
      <c r="A19" s="8" t="s">
        <v>84</v>
      </c>
      <c r="B19" s="9" t="s">
        <v>85</v>
      </c>
      <c r="C19" s="47">
        <v>4847367</v>
      </c>
      <c r="D19" s="10">
        <v>433354610</v>
      </c>
      <c r="E19" s="48">
        <v>2.61</v>
      </c>
      <c r="F19" s="48">
        <v>2.08</v>
      </c>
    </row>
    <row r="20" spans="1:6" ht="16.5" customHeight="1" x14ac:dyDescent="0.25">
      <c r="A20" s="2" t="s">
        <v>98</v>
      </c>
      <c r="B20" s="3" t="s">
        <v>99</v>
      </c>
      <c r="C20" s="49">
        <v>32329009</v>
      </c>
      <c r="D20" s="4">
        <v>425773049</v>
      </c>
      <c r="E20" s="50">
        <v>2.56</v>
      </c>
      <c r="F20" s="50">
        <v>2.04</v>
      </c>
    </row>
    <row r="21" spans="1:6" ht="16.5" customHeight="1" x14ac:dyDescent="0.25">
      <c r="A21" s="8" t="s">
        <v>72</v>
      </c>
      <c r="B21" s="9" t="s">
        <v>73</v>
      </c>
      <c r="C21" s="47">
        <v>2116296</v>
      </c>
      <c r="D21" s="10">
        <v>412254461</v>
      </c>
      <c r="E21" s="48">
        <v>2.48</v>
      </c>
      <c r="F21" s="48">
        <v>1.97</v>
      </c>
    </row>
    <row r="22" spans="1:6" ht="16.5" customHeight="1" x14ac:dyDescent="0.25">
      <c r="A22" s="2" t="s">
        <v>78</v>
      </c>
      <c r="B22" s="3" t="s">
        <v>79</v>
      </c>
      <c r="C22" s="49">
        <v>6036011</v>
      </c>
      <c r="D22" s="4">
        <v>398376726</v>
      </c>
      <c r="E22" s="50">
        <v>2.4</v>
      </c>
      <c r="F22" s="50">
        <v>1.91</v>
      </c>
    </row>
    <row r="23" spans="1:6" ht="16.5" customHeight="1" x14ac:dyDescent="0.25">
      <c r="A23" s="8" t="s">
        <v>82</v>
      </c>
      <c r="B23" s="9" t="s">
        <v>83</v>
      </c>
      <c r="C23" s="47">
        <v>5022659</v>
      </c>
      <c r="D23" s="10">
        <v>141739437</v>
      </c>
      <c r="E23" s="48">
        <v>0.85</v>
      </c>
      <c r="F23" s="48">
        <v>0.68</v>
      </c>
    </row>
    <row r="24" spans="1:6" ht="16.5" customHeight="1" x14ac:dyDescent="0.25">
      <c r="A24" s="2" t="s">
        <v>144</v>
      </c>
      <c r="B24" s="3" t="s">
        <v>145</v>
      </c>
      <c r="C24" s="49">
        <v>751425</v>
      </c>
      <c r="D24" s="4">
        <v>131875088</v>
      </c>
      <c r="E24" s="50">
        <v>0.79</v>
      </c>
      <c r="F24" s="50">
        <v>0.63</v>
      </c>
    </row>
    <row r="25" spans="1:6" ht="16.5" customHeight="1" x14ac:dyDescent="0.25">
      <c r="A25" s="8" t="s">
        <v>104</v>
      </c>
      <c r="B25" s="9" t="s">
        <v>105</v>
      </c>
      <c r="C25" s="47">
        <v>1280000</v>
      </c>
      <c r="D25" s="10">
        <v>129408000</v>
      </c>
      <c r="E25" s="48">
        <v>0.78</v>
      </c>
      <c r="F25" s="48">
        <v>0.62</v>
      </c>
    </row>
    <row r="26" spans="1:6" ht="16.5" customHeight="1" x14ac:dyDescent="0.25">
      <c r="A26" s="2" t="s">
        <v>68</v>
      </c>
      <c r="B26" s="3" t="s">
        <v>69</v>
      </c>
      <c r="C26" s="49">
        <v>3843540</v>
      </c>
      <c r="D26" s="4">
        <v>126913691</v>
      </c>
      <c r="E26" s="50">
        <v>0.76</v>
      </c>
      <c r="F26" s="50">
        <v>0.61</v>
      </c>
    </row>
    <row r="27" spans="1:6" ht="16.5" customHeight="1" x14ac:dyDescent="0.25">
      <c r="A27" s="8" t="s">
        <v>146</v>
      </c>
      <c r="B27" s="9" t="s">
        <v>147</v>
      </c>
      <c r="C27" s="47">
        <v>12000000</v>
      </c>
      <c r="D27" s="10">
        <v>112920000</v>
      </c>
      <c r="E27" s="48">
        <v>0.68</v>
      </c>
      <c r="F27" s="48">
        <v>0.54</v>
      </c>
    </row>
    <row r="28" spans="1:6" ht="16.5" customHeight="1" x14ac:dyDescent="0.25">
      <c r="A28" s="2" t="s">
        <v>92</v>
      </c>
      <c r="B28" s="3" t="s">
        <v>93</v>
      </c>
      <c r="C28" s="49">
        <v>1072719</v>
      </c>
      <c r="D28" s="4">
        <v>100245591</v>
      </c>
      <c r="E28" s="50">
        <v>0.6</v>
      </c>
      <c r="F28" s="50">
        <v>0.48</v>
      </c>
    </row>
    <row r="29" spans="1:6" ht="19.5" customHeight="1" x14ac:dyDescent="0.25">
      <c r="A29" s="33"/>
      <c r="B29" s="51" t="s">
        <v>210</v>
      </c>
      <c r="C29" s="33"/>
      <c r="D29" s="52">
        <f>SUM(D5:D28)</f>
        <v>15986066107</v>
      </c>
      <c r="E29" s="33"/>
      <c r="F29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zoomScaleNormal="100" workbookViewId="0"/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355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48</v>
      </c>
      <c r="E2" s="44">
        <v>1228525001.76</v>
      </c>
      <c r="H2" s="53" t="s">
        <v>356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88</v>
      </c>
      <c r="B5" s="9" t="s">
        <v>89</v>
      </c>
      <c r="C5" s="47">
        <v>150000</v>
      </c>
      <c r="D5" s="10">
        <v>102450000</v>
      </c>
      <c r="E5" s="48">
        <v>9.4</v>
      </c>
      <c r="F5" s="48">
        <v>8.34</v>
      </c>
    </row>
    <row r="6" spans="1:8" ht="16.5" customHeight="1" x14ac:dyDescent="0.25">
      <c r="A6" s="2" t="s">
        <v>90</v>
      </c>
      <c r="B6" s="3" t="s">
        <v>91</v>
      </c>
      <c r="C6" s="49">
        <v>500000</v>
      </c>
      <c r="D6" s="4">
        <v>97500000</v>
      </c>
      <c r="E6" s="50">
        <v>8.9499999999999993</v>
      </c>
      <c r="F6" s="50">
        <v>7.94</v>
      </c>
    </row>
    <row r="7" spans="1:8" ht="16.5" customHeight="1" x14ac:dyDescent="0.25">
      <c r="A7" s="8" t="s">
        <v>74</v>
      </c>
      <c r="B7" s="9" t="s">
        <v>75</v>
      </c>
      <c r="C7" s="47">
        <v>320000</v>
      </c>
      <c r="D7" s="10">
        <v>82640000</v>
      </c>
      <c r="E7" s="48">
        <v>7.58</v>
      </c>
      <c r="F7" s="48">
        <v>6.73</v>
      </c>
    </row>
    <row r="8" spans="1:8" ht="16.5" customHeight="1" x14ac:dyDescent="0.25">
      <c r="A8" s="2" t="s">
        <v>70</v>
      </c>
      <c r="B8" s="3" t="s">
        <v>71</v>
      </c>
      <c r="C8" s="49">
        <v>250000</v>
      </c>
      <c r="D8" s="4">
        <v>80062500</v>
      </c>
      <c r="E8" s="50">
        <v>7.35</v>
      </c>
      <c r="F8" s="50">
        <v>6.52</v>
      </c>
    </row>
    <row r="9" spans="1:8" ht="16.5" customHeight="1" x14ac:dyDescent="0.25">
      <c r="A9" s="8" t="s">
        <v>114</v>
      </c>
      <c r="B9" s="9" t="s">
        <v>115</v>
      </c>
      <c r="C9" s="47">
        <v>3750000</v>
      </c>
      <c r="D9" s="10">
        <v>79575000</v>
      </c>
      <c r="E9" s="48">
        <v>7.3</v>
      </c>
      <c r="F9" s="48">
        <v>6.48</v>
      </c>
    </row>
    <row r="10" spans="1:8" ht="16.5" customHeight="1" x14ac:dyDescent="0.25">
      <c r="A10" s="2" t="s">
        <v>80</v>
      </c>
      <c r="B10" s="3" t="s">
        <v>81</v>
      </c>
      <c r="C10" s="49">
        <v>2000000</v>
      </c>
      <c r="D10" s="4">
        <v>61800000</v>
      </c>
      <c r="E10" s="50">
        <v>5.67</v>
      </c>
      <c r="F10" s="50">
        <v>5.03</v>
      </c>
    </row>
    <row r="11" spans="1:8" ht="16.5" customHeight="1" x14ac:dyDescent="0.25">
      <c r="A11" s="8" t="s">
        <v>76</v>
      </c>
      <c r="B11" s="9" t="s">
        <v>77</v>
      </c>
      <c r="C11" s="47">
        <v>100000</v>
      </c>
      <c r="D11" s="10">
        <v>60250000</v>
      </c>
      <c r="E11" s="48">
        <v>5.53</v>
      </c>
      <c r="F11" s="48">
        <v>4.9000000000000004</v>
      </c>
    </row>
    <row r="12" spans="1:8" ht="16.5" customHeight="1" x14ac:dyDescent="0.25">
      <c r="A12" s="2" t="s">
        <v>108</v>
      </c>
      <c r="B12" s="3" t="s">
        <v>109</v>
      </c>
      <c r="C12" s="49">
        <v>190000</v>
      </c>
      <c r="D12" s="4">
        <v>58472500</v>
      </c>
      <c r="E12" s="50">
        <v>5.37</v>
      </c>
      <c r="F12" s="50">
        <v>4.76</v>
      </c>
    </row>
    <row r="13" spans="1:8" ht="16.5" customHeight="1" x14ac:dyDescent="0.25">
      <c r="A13" s="8" t="s">
        <v>100</v>
      </c>
      <c r="B13" s="9" t="s">
        <v>101</v>
      </c>
      <c r="C13" s="47">
        <v>130000</v>
      </c>
      <c r="D13" s="10">
        <v>55315000</v>
      </c>
      <c r="E13" s="48">
        <v>5.08</v>
      </c>
      <c r="F13" s="48">
        <v>4.5</v>
      </c>
    </row>
    <row r="14" spans="1:8" ht="16.5" customHeight="1" x14ac:dyDescent="0.25">
      <c r="A14" s="2" t="s">
        <v>357</v>
      </c>
      <c r="B14" s="3" t="s">
        <v>358</v>
      </c>
      <c r="C14" s="49">
        <v>220000</v>
      </c>
      <c r="D14" s="4">
        <v>53064000</v>
      </c>
      <c r="E14" s="50">
        <v>4.87</v>
      </c>
      <c r="F14" s="50">
        <v>4.32</v>
      </c>
    </row>
    <row r="15" spans="1:8" ht="16.5" customHeight="1" x14ac:dyDescent="0.25">
      <c r="A15" s="8" t="s">
        <v>359</v>
      </c>
      <c r="B15" s="9" t="s">
        <v>360</v>
      </c>
      <c r="C15" s="47">
        <v>209919</v>
      </c>
      <c r="D15" s="10">
        <v>47903516</v>
      </c>
      <c r="E15" s="48">
        <v>4.4000000000000004</v>
      </c>
      <c r="F15" s="48">
        <v>3.9</v>
      </c>
    </row>
    <row r="16" spans="1:8" ht="16.5" customHeight="1" x14ac:dyDescent="0.25">
      <c r="A16" s="2" t="s">
        <v>172</v>
      </c>
      <c r="B16" s="3" t="s">
        <v>173</v>
      </c>
      <c r="C16" s="49">
        <v>1000000</v>
      </c>
      <c r="D16" s="4">
        <v>40360000</v>
      </c>
      <c r="E16" s="50">
        <v>3.7</v>
      </c>
      <c r="F16" s="50">
        <v>3.29</v>
      </c>
    </row>
    <row r="17" spans="1:6" ht="16.5" customHeight="1" x14ac:dyDescent="0.25">
      <c r="A17" s="8" t="s">
        <v>162</v>
      </c>
      <c r="B17" s="9" t="s">
        <v>163</v>
      </c>
      <c r="C17" s="47">
        <v>600000</v>
      </c>
      <c r="D17" s="10">
        <v>36930000</v>
      </c>
      <c r="E17" s="48">
        <v>3.39</v>
      </c>
      <c r="F17" s="48">
        <v>3.01</v>
      </c>
    </row>
    <row r="18" spans="1:6" ht="16.5" customHeight="1" x14ac:dyDescent="0.25">
      <c r="A18" s="2" t="s">
        <v>140</v>
      </c>
      <c r="B18" s="3" t="s">
        <v>141</v>
      </c>
      <c r="C18" s="49">
        <v>15000000</v>
      </c>
      <c r="D18" s="4">
        <v>35100000</v>
      </c>
      <c r="E18" s="50">
        <v>3.22</v>
      </c>
      <c r="F18" s="50">
        <v>2.86</v>
      </c>
    </row>
    <row r="19" spans="1:6" ht="16.5" customHeight="1" x14ac:dyDescent="0.25">
      <c r="A19" s="8" t="s">
        <v>361</v>
      </c>
      <c r="B19" s="9" t="s">
        <v>362</v>
      </c>
      <c r="C19" s="47">
        <v>4000000</v>
      </c>
      <c r="D19" s="10">
        <v>28880000</v>
      </c>
      <c r="E19" s="48">
        <v>2.65</v>
      </c>
      <c r="F19" s="48">
        <v>2.35</v>
      </c>
    </row>
    <row r="20" spans="1:6" ht="16.5" customHeight="1" x14ac:dyDescent="0.25">
      <c r="A20" s="2" t="s">
        <v>82</v>
      </c>
      <c r="B20" s="3" t="s">
        <v>83</v>
      </c>
      <c r="C20" s="49">
        <v>1000000</v>
      </c>
      <c r="D20" s="4">
        <v>28220000</v>
      </c>
      <c r="E20" s="50">
        <v>2.59</v>
      </c>
      <c r="F20" s="50">
        <v>2.2999999999999998</v>
      </c>
    </row>
    <row r="21" spans="1:6" ht="16.5" customHeight="1" x14ac:dyDescent="0.25">
      <c r="A21" s="8" t="s">
        <v>170</v>
      </c>
      <c r="B21" s="9" t="s">
        <v>171</v>
      </c>
      <c r="C21" s="47">
        <v>1000000</v>
      </c>
      <c r="D21" s="10">
        <v>27260000</v>
      </c>
      <c r="E21" s="48">
        <v>2.5</v>
      </c>
      <c r="F21" s="48">
        <v>2.2200000000000002</v>
      </c>
    </row>
    <row r="22" spans="1:6" ht="16.5" customHeight="1" x14ac:dyDescent="0.25">
      <c r="A22" s="2" t="s">
        <v>116</v>
      </c>
      <c r="B22" s="3" t="s">
        <v>117</v>
      </c>
      <c r="C22" s="49">
        <v>300000</v>
      </c>
      <c r="D22" s="4">
        <v>26520000</v>
      </c>
      <c r="E22" s="50">
        <v>2.4300000000000002</v>
      </c>
      <c r="F22" s="50">
        <v>2.16</v>
      </c>
    </row>
    <row r="23" spans="1:6" ht="16.5" customHeight="1" x14ac:dyDescent="0.25">
      <c r="A23" s="8" t="s">
        <v>118</v>
      </c>
      <c r="B23" s="9" t="s">
        <v>119</v>
      </c>
      <c r="C23" s="47">
        <v>189300</v>
      </c>
      <c r="D23" s="10">
        <v>22526700</v>
      </c>
      <c r="E23" s="48">
        <v>2.0699999999999998</v>
      </c>
      <c r="F23" s="48">
        <v>1.83</v>
      </c>
    </row>
    <row r="24" spans="1:6" ht="16.5" customHeight="1" x14ac:dyDescent="0.25">
      <c r="A24" s="2" t="s">
        <v>102</v>
      </c>
      <c r="B24" s="3" t="s">
        <v>103</v>
      </c>
      <c r="C24" s="49">
        <v>500000</v>
      </c>
      <c r="D24" s="4">
        <v>20950000</v>
      </c>
      <c r="E24" s="50">
        <v>1.92</v>
      </c>
      <c r="F24" s="50">
        <v>1.71</v>
      </c>
    </row>
    <row r="25" spans="1:6" ht="16.5" customHeight="1" x14ac:dyDescent="0.25">
      <c r="A25" s="8" t="s">
        <v>92</v>
      </c>
      <c r="B25" s="9" t="s">
        <v>93</v>
      </c>
      <c r="C25" s="47">
        <v>200000</v>
      </c>
      <c r="D25" s="10">
        <v>18690000</v>
      </c>
      <c r="E25" s="48">
        <v>1.72</v>
      </c>
      <c r="F25" s="48">
        <v>1.52</v>
      </c>
    </row>
    <row r="26" spans="1:6" ht="16.5" customHeight="1" x14ac:dyDescent="0.25">
      <c r="A26" s="2" t="s">
        <v>98</v>
      </c>
      <c r="B26" s="3" t="s">
        <v>99</v>
      </c>
      <c r="C26" s="49">
        <v>1000000</v>
      </c>
      <c r="D26" s="4">
        <v>13170000</v>
      </c>
      <c r="E26" s="50">
        <v>1.21</v>
      </c>
      <c r="F26" s="50">
        <v>1.07</v>
      </c>
    </row>
    <row r="27" spans="1:6" ht="16.5" customHeight="1" x14ac:dyDescent="0.25">
      <c r="A27" s="8" t="s">
        <v>174</v>
      </c>
      <c r="B27" s="9" t="s">
        <v>175</v>
      </c>
      <c r="C27" s="47">
        <v>750000</v>
      </c>
      <c r="D27" s="10">
        <v>8122500</v>
      </c>
      <c r="E27" s="48">
        <v>0.75</v>
      </c>
      <c r="F27" s="48">
        <v>0.66</v>
      </c>
    </row>
    <row r="28" spans="1:6" ht="19.5" customHeight="1" x14ac:dyDescent="0.25">
      <c r="A28" s="33"/>
      <c r="B28" s="51" t="s">
        <v>210</v>
      </c>
      <c r="C28" s="33"/>
      <c r="D28" s="52">
        <f>SUM(D5:D27)</f>
        <v>1085761716</v>
      </c>
      <c r="E28" s="33"/>
      <c r="F28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zoomScaleNormal="100" workbookViewId="0"/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363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59</v>
      </c>
      <c r="E2" s="44">
        <v>88211135.659999996</v>
      </c>
      <c r="H2" s="53" t="s">
        <v>364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88</v>
      </c>
      <c r="B5" s="9" t="s">
        <v>89</v>
      </c>
      <c r="C5" s="47">
        <v>11650</v>
      </c>
      <c r="D5" s="10">
        <v>7956950</v>
      </c>
      <c r="E5" s="48">
        <v>9.7799999999999994</v>
      </c>
      <c r="F5" s="48">
        <v>9.02</v>
      </c>
    </row>
    <row r="6" spans="1:8" ht="16.5" customHeight="1" x14ac:dyDescent="0.25">
      <c r="A6" s="2" t="s">
        <v>70</v>
      </c>
      <c r="B6" s="3" t="s">
        <v>71</v>
      </c>
      <c r="C6" s="49">
        <v>24000</v>
      </c>
      <c r="D6" s="4">
        <v>7686000</v>
      </c>
      <c r="E6" s="50">
        <v>9.4499999999999993</v>
      </c>
      <c r="F6" s="50">
        <v>8.7100000000000009</v>
      </c>
    </row>
    <row r="7" spans="1:8" ht="16.5" customHeight="1" x14ac:dyDescent="0.25">
      <c r="A7" s="8" t="s">
        <v>78</v>
      </c>
      <c r="B7" s="9" t="s">
        <v>79</v>
      </c>
      <c r="C7" s="47">
        <v>84000</v>
      </c>
      <c r="D7" s="10">
        <v>5544000</v>
      </c>
      <c r="E7" s="48">
        <v>6.82</v>
      </c>
      <c r="F7" s="48">
        <v>6.29</v>
      </c>
    </row>
    <row r="8" spans="1:8" ht="16.5" customHeight="1" x14ac:dyDescent="0.25">
      <c r="A8" s="2" t="s">
        <v>86</v>
      </c>
      <c r="B8" s="3" t="s">
        <v>87</v>
      </c>
      <c r="C8" s="49">
        <v>14000</v>
      </c>
      <c r="D8" s="4">
        <v>4119500</v>
      </c>
      <c r="E8" s="50">
        <v>5.07</v>
      </c>
      <c r="F8" s="50">
        <v>4.67</v>
      </c>
    </row>
    <row r="9" spans="1:8" ht="16.5" customHeight="1" x14ac:dyDescent="0.25">
      <c r="A9" s="8" t="s">
        <v>94</v>
      </c>
      <c r="B9" s="9" t="s">
        <v>95</v>
      </c>
      <c r="C9" s="47">
        <v>38000</v>
      </c>
      <c r="D9" s="10">
        <v>4024200</v>
      </c>
      <c r="E9" s="48">
        <v>4.95</v>
      </c>
      <c r="F9" s="48">
        <v>4.5599999999999996</v>
      </c>
    </row>
    <row r="10" spans="1:8" ht="16.5" customHeight="1" x14ac:dyDescent="0.25">
      <c r="A10" s="2" t="s">
        <v>104</v>
      </c>
      <c r="B10" s="3" t="s">
        <v>105</v>
      </c>
      <c r="C10" s="49">
        <v>39000</v>
      </c>
      <c r="D10" s="4">
        <v>3942900</v>
      </c>
      <c r="E10" s="50">
        <v>4.8499999999999996</v>
      </c>
      <c r="F10" s="50">
        <v>4.47</v>
      </c>
    </row>
    <row r="11" spans="1:8" ht="16.5" customHeight="1" x14ac:dyDescent="0.25">
      <c r="A11" s="8" t="s">
        <v>96</v>
      </c>
      <c r="B11" s="9" t="s">
        <v>97</v>
      </c>
      <c r="C11" s="47">
        <v>31000</v>
      </c>
      <c r="D11" s="10">
        <v>3921500</v>
      </c>
      <c r="E11" s="48">
        <v>4.82</v>
      </c>
      <c r="F11" s="48">
        <v>4.45</v>
      </c>
    </row>
    <row r="12" spans="1:8" ht="16.5" customHeight="1" x14ac:dyDescent="0.25">
      <c r="A12" s="2" t="s">
        <v>72</v>
      </c>
      <c r="B12" s="3" t="s">
        <v>73</v>
      </c>
      <c r="C12" s="49">
        <v>20000</v>
      </c>
      <c r="D12" s="4">
        <v>3896000</v>
      </c>
      <c r="E12" s="50">
        <v>4.79</v>
      </c>
      <c r="F12" s="50">
        <v>4.42</v>
      </c>
    </row>
    <row r="13" spans="1:8" ht="16.5" customHeight="1" x14ac:dyDescent="0.25">
      <c r="A13" s="8" t="s">
        <v>100</v>
      </c>
      <c r="B13" s="9" t="s">
        <v>101</v>
      </c>
      <c r="C13" s="47">
        <v>9000</v>
      </c>
      <c r="D13" s="10">
        <v>3829500</v>
      </c>
      <c r="E13" s="48">
        <v>4.71</v>
      </c>
      <c r="F13" s="48">
        <v>4.34</v>
      </c>
    </row>
    <row r="14" spans="1:8" ht="16.5" customHeight="1" x14ac:dyDescent="0.25">
      <c r="A14" s="2" t="s">
        <v>90</v>
      </c>
      <c r="B14" s="3" t="s">
        <v>91</v>
      </c>
      <c r="C14" s="49">
        <v>19000</v>
      </c>
      <c r="D14" s="4">
        <v>3705000</v>
      </c>
      <c r="E14" s="50">
        <v>4.5599999999999996</v>
      </c>
      <c r="F14" s="50">
        <v>4.2</v>
      </c>
    </row>
    <row r="15" spans="1:8" ht="16.5" customHeight="1" x14ac:dyDescent="0.25">
      <c r="A15" s="8" t="s">
        <v>84</v>
      </c>
      <c r="B15" s="9" t="s">
        <v>85</v>
      </c>
      <c r="C15" s="47">
        <v>41000</v>
      </c>
      <c r="D15" s="10">
        <v>3665400</v>
      </c>
      <c r="E15" s="48">
        <v>4.51</v>
      </c>
      <c r="F15" s="48">
        <v>4.1500000000000004</v>
      </c>
    </row>
    <row r="16" spans="1:8" ht="16.5" customHeight="1" x14ac:dyDescent="0.25">
      <c r="A16" s="2" t="s">
        <v>74</v>
      </c>
      <c r="B16" s="3" t="s">
        <v>75</v>
      </c>
      <c r="C16" s="49">
        <v>14000</v>
      </c>
      <c r="D16" s="4">
        <v>3615500</v>
      </c>
      <c r="E16" s="50">
        <v>4.45</v>
      </c>
      <c r="F16" s="50">
        <v>4.0999999999999996</v>
      </c>
    </row>
    <row r="17" spans="1:6" ht="16.5" customHeight="1" x14ac:dyDescent="0.25">
      <c r="A17" s="8" t="s">
        <v>82</v>
      </c>
      <c r="B17" s="9" t="s">
        <v>83</v>
      </c>
      <c r="C17" s="47">
        <v>120000</v>
      </c>
      <c r="D17" s="10">
        <v>3386400</v>
      </c>
      <c r="E17" s="48">
        <v>4.16</v>
      </c>
      <c r="F17" s="48">
        <v>3.84</v>
      </c>
    </row>
    <row r="18" spans="1:6" ht="16.5" customHeight="1" x14ac:dyDescent="0.25">
      <c r="A18" s="2" t="s">
        <v>68</v>
      </c>
      <c r="B18" s="3" t="s">
        <v>69</v>
      </c>
      <c r="C18" s="49">
        <v>93000</v>
      </c>
      <c r="D18" s="4">
        <v>3070860</v>
      </c>
      <c r="E18" s="50">
        <v>3.78</v>
      </c>
      <c r="F18" s="50">
        <v>3.48</v>
      </c>
    </row>
    <row r="19" spans="1:6" ht="16.5" customHeight="1" x14ac:dyDescent="0.25">
      <c r="A19" s="8" t="s">
        <v>365</v>
      </c>
      <c r="B19" s="9" t="s">
        <v>366</v>
      </c>
      <c r="C19" s="47">
        <v>50120</v>
      </c>
      <c r="D19" s="10">
        <v>2571156</v>
      </c>
      <c r="E19" s="48">
        <v>3.16</v>
      </c>
      <c r="F19" s="48">
        <v>2.91</v>
      </c>
    </row>
    <row r="20" spans="1:6" ht="16.5" customHeight="1" x14ac:dyDescent="0.25">
      <c r="A20" s="2" t="s">
        <v>76</v>
      </c>
      <c r="B20" s="3" t="s">
        <v>77</v>
      </c>
      <c r="C20" s="49">
        <v>4000</v>
      </c>
      <c r="D20" s="4">
        <v>2410000</v>
      </c>
      <c r="E20" s="50">
        <v>2.96</v>
      </c>
      <c r="F20" s="50">
        <v>2.73</v>
      </c>
    </row>
    <row r="21" spans="1:6" ht="16.5" customHeight="1" x14ac:dyDescent="0.25">
      <c r="A21" s="8" t="s">
        <v>106</v>
      </c>
      <c r="B21" s="9" t="s">
        <v>107</v>
      </c>
      <c r="C21" s="47">
        <v>100000</v>
      </c>
      <c r="D21" s="10">
        <v>1921000</v>
      </c>
      <c r="E21" s="48">
        <v>2.36</v>
      </c>
      <c r="F21" s="48">
        <v>2.1800000000000002</v>
      </c>
    </row>
    <row r="22" spans="1:6" ht="16.5" customHeight="1" x14ac:dyDescent="0.25">
      <c r="A22" s="2" t="s">
        <v>80</v>
      </c>
      <c r="B22" s="3" t="s">
        <v>81</v>
      </c>
      <c r="C22" s="49">
        <v>55000</v>
      </c>
      <c r="D22" s="4">
        <v>1699500</v>
      </c>
      <c r="E22" s="50">
        <v>2.09</v>
      </c>
      <c r="F22" s="50">
        <v>1.93</v>
      </c>
    </row>
    <row r="23" spans="1:6" ht="16.5" customHeight="1" x14ac:dyDescent="0.25">
      <c r="A23" s="8" t="s">
        <v>178</v>
      </c>
      <c r="B23" s="9" t="s">
        <v>179</v>
      </c>
      <c r="C23" s="47">
        <v>40001</v>
      </c>
      <c r="D23" s="10">
        <v>1174419</v>
      </c>
      <c r="E23" s="48">
        <v>1.44</v>
      </c>
      <c r="F23" s="48">
        <v>1.33</v>
      </c>
    </row>
    <row r="24" spans="1:6" ht="16.5" customHeight="1" x14ac:dyDescent="0.25">
      <c r="A24" s="2" t="s">
        <v>367</v>
      </c>
      <c r="B24" s="3" t="s">
        <v>368</v>
      </c>
      <c r="C24" s="49">
        <v>30000</v>
      </c>
      <c r="D24" s="4">
        <v>1086600</v>
      </c>
      <c r="E24" s="50">
        <v>1.34</v>
      </c>
      <c r="F24" s="50">
        <v>1.23</v>
      </c>
    </row>
    <row r="25" spans="1:6" ht="19.5" customHeight="1" x14ac:dyDescent="0.25">
      <c r="A25" s="33"/>
      <c r="B25" s="51" t="s">
        <v>210</v>
      </c>
      <c r="C25" s="33"/>
      <c r="D25" s="52">
        <f>SUM(D5:D24)</f>
        <v>73226385</v>
      </c>
      <c r="E25" s="33"/>
      <c r="F25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zoomScaleNormal="100" workbookViewId="0"/>
  </sheetViews>
  <sheetFormatPr defaultColWidth="8.7109375" defaultRowHeight="15" x14ac:dyDescent="0.25"/>
  <cols>
    <col min="1" max="1" width="13" customWidth="1"/>
    <col min="2" max="2" width="32" customWidth="1"/>
    <col min="3" max="3" width="15" customWidth="1"/>
    <col min="4" max="4" width="18" customWidth="1"/>
    <col min="5" max="6" width="10" customWidth="1"/>
  </cols>
  <sheetData>
    <row r="1" spans="1:8" ht="30" customHeight="1" x14ac:dyDescent="0.25">
      <c r="A1" s="57" t="s">
        <v>369</v>
      </c>
      <c r="B1" s="57"/>
      <c r="C1" s="57"/>
      <c r="D1" s="57"/>
      <c r="E1" s="57"/>
      <c r="F1" s="57"/>
      <c r="G1" s="57"/>
    </row>
    <row r="2" spans="1:8" ht="18" customHeight="1" x14ac:dyDescent="0.25">
      <c r="A2" s="42" t="s">
        <v>201</v>
      </c>
      <c r="B2" s="43" t="s">
        <v>40</v>
      </c>
      <c r="E2" s="44">
        <v>114746135</v>
      </c>
      <c r="H2" s="53" t="s">
        <v>370</v>
      </c>
    </row>
    <row r="3" spans="1:8" ht="15.75" customHeight="1" x14ac:dyDescent="0.25">
      <c r="A3" s="46" t="str">
        <f>HYPERLINK("#'Ana Sayfa'!A1","⬅ Ana Sayfaya Dön")</f>
        <v>⬅ Ana Sayfaya Dön</v>
      </c>
    </row>
    <row r="4" spans="1:8" ht="27.75" customHeight="1" x14ac:dyDescent="0.25">
      <c r="A4" s="1" t="s">
        <v>205</v>
      </c>
      <c r="B4" s="1" t="s">
        <v>66</v>
      </c>
      <c r="C4" s="1" t="s">
        <v>206</v>
      </c>
      <c r="D4" s="1" t="s">
        <v>207</v>
      </c>
      <c r="E4" s="1" t="s">
        <v>208</v>
      </c>
      <c r="F4" s="1" t="s">
        <v>209</v>
      </c>
    </row>
    <row r="5" spans="1:8" ht="16.5" customHeight="1" x14ac:dyDescent="0.25">
      <c r="A5" s="8" t="s">
        <v>88</v>
      </c>
      <c r="B5" s="9" t="s">
        <v>89</v>
      </c>
      <c r="C5" s="47">
        <v>13400</v>
      </c>
      <c r="D5" s="10">
        <v>9152200</v>
      </c>
      <c r="E5" s="48">
        <v>9.44</v>
      </c>
      <c r="F5" s="48">
        <v>7.98</v>
      </c>
    </row>
    <row r="6" spans="1:8" ht="16.5" customHeight="1" x14ac:dyDescent="0.25">
      <c r="A6" s="2" t="s">
        <v>70</v>
      </c>
      <c r="B6" s="3" t="s">
        <v>71</v>
      </c>
      <c r="C6" s="49">
        <v>26050</v>
      </c>
      <c r="D6" s="4">
        <v>8342513</v>
      </c>
      <c r="E6" s="50">
        <v>8.6</v>
      </c>
      <c r="F6" s="50">
        <v>7.27</v>
      </c>
    </row>
    <row r="7" spans="1:8" ht="16.5" customHeight="1" x14ac:dyDescent="0.25">
      <c r="A7" s="8" t="s">
        <v>94</v>
      </c>
      <c r="B7" s="9" t="s">
        <v>95</v>
      </c>
      <c r="C7" s="47">
        <v>73000</v>
      </c>
      <c r="D7" s="10">
        <v>7730700</v>
      </c>
      <c r="E7" s="48">
        <v>7.97</v>
      </c>
      <c r="F7" s="48">
        <v>6.74</v>
      </c>
    </row>
    <row r="8" spans="1:8" ht="16.5" customHeight="1" x14ac:dyDescent="0.25">
      <c r="A8" s="2" t="s">
        <v>148</v>
      </c>
      <c r="B8" s="3" t="s">
        <v>149</v>
      </c>
      <c r="C8" s="49">
        <v>55000</v>
      </c>
      <c r="D8" s="4">
        <v>5390000</v>
      </c>
      <c r="E8" s="50">
        <v>5.56</v>
      </c>
      <c r="F8" s="50">
        <v>4.7</v>
      </c>
    </row>
    <row r="9" spans="1:8" ht="16.5" customHeight="1" x14ac:dyDescent="0.25">
      <c r="A9" s="8" t="s">
        <v>120</v>
      </c>
      <c r="B9" s="9" t="s">
        <v>121</v>
      </c>
      <c r="C9" s="47">
        <v>38401</v>
      </c>
      <c r="D9" s="10">
        <v>4396915</v>
      </c>
      <c r="E9" s="48">
        <v>4.53</v>
      </c>
      <c r="F9" s="48">
        <v>3.83</v>
      </c>
    </row>
    <row r="10" spans="1:8" ht="16.5" customHeight="1" x14ac:dyDescent="0.25">
      <c r="A10" s="2" t="s">
        <v>76</v>
      </c>
      <c r="B10" s="3" t="s">
        <v>77</v>
      </c>
      <c r="C10" s="49">
        <v>6000</v>
      </c>
      <c r="D10" s="4">
        <v>3615000</v>
      </c>
      <c r="E10" s="50">
        <v>3.73</v>
      </c>
      <c r="F10" s="50">
        <v>3.15</v>
      </c>
    </row>
    <row r="11" spans="1:8" ht="16.5" customHeight="1" x14ac:dyDescent="0.25">
      <c r="A11" s="8" t="s">
        <v>114</v>
      </c>
      <c r="B11" s="9" t="s">
        <v>115</v>
      </c>
      <c r="C11" s="47">
        <v>170000</v>
      </c>
      <c r="D11" s="10">
        <v>3607400</v>
      </c>
      <c r="E11" s="48">
        <v>3.72</v>
      </c>
      <c r="F11" s="48">
        <v>3.14</v>
      </c>
    </row>
    <row r="12" spans="1:8" ht="16.5" customHeight="1" x14ac:dyDescent="0.25">
      <c r="A12" s="2" t="s">
        <v>90</v>
      </c>
      <c r="B12" s="3" t="s">
        <v>91</v>
      </c>
      <c r="C12" s="49">
        <v>18200</v>
      </c>
      <c r="D12" s="4">
        <v>3549000</v>
      </c>
      <c r="E12" s="50">
        <v>3.66</v>
      </c>
      <c r="F12" s="50">
        <v>3.09</v>
      </c>
    </row>
    <row r="13" spans="1:8" ht="16.5" customHeight="1" x14ac:dyDescent="0.25">
      <c r="A13" s="8" t="s">
        <v>144</v>
      </c>
      <c r="B13" s="9" t="s">
        <v>145</v>
      </c>
      <c r="C13" s="47">
        <v>20000</v>
      </c>
      <c r="D13" s="10">
        <v>3510000</v>
      </c>
      <c r="E13" s="48">
        <v>3.62</v>
      </c>
      <c r="F13" s="48">
        <v>3.06</v>
      </c>
    </row>
    <row r="14" spans="1:8" ht="16.5" customHeight="1" x14ac:dyDescent="0.25">
      <c r="A14" s="2" t="s">
        <v>371</v>
      </c>
      <c r="B14" s="3" t="s">
        <v>372</v>
      </c>
      <c r="C14" s="49">
        <v>255500</v>
      </c>
      <c r="D14" s="4">
        <v>3244850</v>
      </c>
      <c r="E14" s="50">
        <v>3.35</v>
      </c>
      <c r="F14" s="50">
        <v>2.82</v>
      </c>
    </row>
    <row r="15" spans="1:8" ht="16.5" customHeight="1" x14ac:dyDescent="0.25">
      <c r="A15" s="8" t="s">
        <v>373</v>
      </c>
      <c r="B15" s="9" t="s">
        <v>374</v>
      </c>
      <c r="C15" s="47">
        <v>195665</v>
      </c>
      <c r="D15" s="10">
        <v>3165860</v>
      </c>
      <c r="E15" s="48">
        <v>3.26</v>
      </c>
      <c r="F15" s="48">
        <v>2.76</v>
      </c>
    </row>
    <row r="16" spans="1:8" ht="16.5" customHeight="1" x14ac:dyDescent="0.25">
      <c r="A16" s="2" t="s">
        <v>128</v>
      </c>
      <c r="B16" s="3" t="s">
        <v>129</v>
      </c>
      <c r="C16" s="49">
        <v>62000</v>
      </c>
      <c r="D16" s="4">
        <v>3033040</v>
      </c>
      <c r="E16" s="50">
        <v>3.13</v>
      </c>
      <c r="F16" s="50">
        <v>2.64</v>
      </c>
    </row>
    <row r="17" spans="1:6" ht="16.5" customHeight="1" x14ac:dyDescent="0.25">
      <c r="A17" s="8" t="s">
        <v>110</v>
      </c>
      <c r="B17" s="9" t="s">
        <v>111</v>
      </c>
      <c r="C17" s="47">
        <v>60000</v>
      </c>
      <c r="D17" s="10">
        <v>2922000</v>
      </c>
      <c r="E17" s="48">
        <v>3.01</v>
      </c>
      <c r="F17" s="48">
        <v>2.5499999999999998</v>
      </c>
    </row>
    <row r="18" spans="1:6" ht="16.5" customHeight="1" x14ac:dyDescent="0.25">
      <c r="A18" s="2" t="s">
        <v>72</v>
      </c>
      <c r="B18" s="3" t="s">
        <v>73</v>
      </c>
      <c r="C18" s="49">
        <v>15000</v>
      </c>
      <c r="D18" s="4">
        <v>2922000</v>
      </c>
      <c r="E18" s="50">
        <v>3.01</v>
      </c>
      <c r="F18" s="50">
        <v>2.5499999999999998</v>
      </c>
    </row>
    <row r="19" spans="1:6" ht="16.5" customHeight="1" x14ac:dyDescent="0.25">
      <c r="A19" s="8" t="s">
        <v>150</v>
      </c>
      <c r="B19" s="9" t="s">
        <v>151</v>
      </c>
      <c r="C19" s="47">
        <v>15000</v>
      </c>
      <c r="D19" s="10">
        <v>2725500</v>
      </c>
      <c r="E19" s="48">
        <v>2.81</v>
      </c>
      <c r="F19" s="48">
        <v>2.38</v>
      </c>
    </row>
    <row r="20" spans="1:6" ht="16.5" customHeight="1" x14ac:dyDescent="0.25">
      <c r="A20" s="2" t="s">
        <v>74</v>
      </c>
      <c r="B20" s="3" t="s">
        <v>75</v>
      </c>
      <c r="C20" s="49">
        <v>10490</v>
      </c>
      <c r="D20" s="4">
        <v>2709043</v>
      </c>
      <c r="E20" s="50">
        <v>2.79</v>
      </c>
      <c r="F20" s="50">
        <v>2.36</v>
      </c>
    </row>
    <row r="21" spans="1:6" ht="16.5" customHeight="1" x14ac:dyDescent="0.25">
      <c r="A21" s="8" t="s">
        <v>78</v>
      </c>
      <c r="B21" s="9" t="s">
        <v>79</v>
      </c>
      <c r="C21" s="47">
        <v>35500</v>
      </c>
      <c r="D21" s="10">
        <v>2343000</v>
      </c>
      <c r="E21" s="48">
        <v>2.42</v>
      </c>
      <c r="F21" s="48">
        <v>2.04</v>
      </c>
    </row>
    <row r="22" spans="1:6" ht="16.5" customHeight="1" x14ac:dyDescent="0.25">
      <c r="A22" s="2" t="s">
        <v>68</v>
      </c>
      <c r="B22" s="3" t="s">
        <v>69</v>
      </c>
      <c r="C22" s="49">
        <v>70000</v>
      </c>
      <c r="D22" s="4">
        <v>2311400</v>
      </c>
      <c r="E22" s="50">
        <v>2.38</v>
      </c>
      <c r="F22" s="50">
        <v>2.0099999999999998</v>
      </c>
    </row>
    <row r="23" spans="1:6" ht="16.5" customHeight="1" x14ac:dyDescent="0.25">
      <c r="A23" s="8" t="s">
        <v>166</v>
      </c>
      <c r="B23" s="9" t="s">
        <v>167</v>
      </c>
      <c r="C23" s="47">
        <v>50300</v>
      </c>
      <c r="D23" s="10">
        <v>2170948</v>
      </c>
      <c r="E23" s="48">
        <v>2.2400000000000002</v>
      </c>
      <c r="F23" s="48">
        <v>1.89</v>
      </c>
    </row>
    <row r="24" spans="1:6" ht="16.5" customHeight="1" x14ac:dyDescent="0.25">
      <c r="A24" s="2" t="s">
        <v>92</v>
      </c>
      <c r="B24" s="3" t="s">
        <v>93</v>
      </c>
      <c r="C24" s="49">
        <v>23100</v>
      </c>
      <c r="D24" s="4">
        <v>2158695</v>
      </c>
      <c r="E24" s="50">
        <v>2.23</v>
      </c>
      <c r="F24" s="50">
        <v>1.88</v>
      </c>
    </row>
    <row r="25" spans="1:6" ht="16.5" customHeight="1" x14ac:dyDescent="0.25">
      <c r="A25" s="8" t="s">
        <v>100</v>
      </c>
      <c r="B25" s="9" t="s">
        <v>101</v>
      </c>
      <c r="C25" s="47">
        <v>5000</v>
      </c>
      <c r="D25" s="10">
        <v>2127500</v>
      </c>
      <c r="E25" s="48">
        <v>2.19</v>
      </c>
      <c r="F25" s="48">
        <v>1.85</v>
      </c>
    </row>
    <row r="26" spans="1:6" ht="16.5" customHeight="1" x14ac:dyDescent="0.25">
      <c r="A26" s="2" t="s">
        <v>84</v>
      </c>
      <c r="B26" s="3" t="s">
        <v>85</v>
      </c>
      <c r="C26" s="49">
        <v>20000</v>
      </c>
      <c r="D26" s="4">
        <v>1788000</v>
      </c>
      <c r="E26" s="50">
        <v>1.84</v>
      </c>
      <c r="F26" s="50">
        <v>1.56</v>
      </c>
    </row>
    <row r="27" spans="1:6" ht="16.5" customHeight="1" x14ac:dyDescent="0.25">
      <c r="A27" s="8" t="s">
        <v>375</v>
      </c>
      <c r="B27" s="9" t="s">
        <v>376</v>
      </c>
      <c r="C27" s="47">
        <v>1000000</v>
      </c>
      <c r="D27" s="10">
        <v>1640000</v>
      </c>
      <c r="E27" s="48">
        <v>1.69</v>
      </c>
      <c r="F27" s="48">
        <v>1.43</v>
      </c>
    </row>
    <row r="28" spans="1:6" ht="16.5" customHeight="1" x14ac:dyDescent="0.25">
      <c r="A28" s="2" t="s">
        <v>86</v>
      </c>
      <c r="B28" s="3" t="s">
        <v>87</v>
      </c>
      <c r="C28" s="49">
        <v>5000</v>
      </c>
      <c r="D28" s="4">
        <v>1471250</v>
      </c>
      <c r="E28" s="50">
        <v>1.52</v>
      </c>
      <c r="F28" s="50">
        <v>1.28</v>
      </c>
    </row>
    <row r="29" spans="1:6" ht="16.5" customHeight="1" x14ac:dyDescent="0.25">
      <c r="A29" s="8" t="s">
        <v>106</v>
      </c>
      <c r="B29" s="9" t="s">
        <v>107</v>
      </c>
      <c r="C29" s="47">
        <v>69800</v>
      </c>
      <c r="D29" s="10">
        <v>1340858</v>
      </c>
      <c r="E29" s="48">
        <v>1.38</v>
      </c>
      <c r="F29" s="48">
        <v>1.17</v>
      </c>
    </row>
    <row r="30" spans="1:6" ht="19.5" customHeight="1" x14ac:dyDescent="0.25">
      <c r="A30" s="33"/>
      <c r="B30" s="51" t="s">
        <v>210</v>
      </c>
      <c r="C30" s="33"/>
      <c r="D30" s="52">
        <f>SUM(D5:D29)</f>
        <v>87367672</v>
      </c>
      <c r="E30" s="33"/>
      <c r="F30" s="3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Ana Sayfa</vt:lpstr>
      <vt:lpstr>BMU</vt:lpstr>
      <vt:lpstr>DOH</vt:lpstr>
      <vt:lpstr>RBN</vt:lpstr>
      <vt:lpstr>RKH</vt:lpstr>
      <vt:lpstr>ST1</vt:lpstr>
      <vt:lpstr>THF</vt:lpstr>
      <vt:lpstr>BHA</vt:lpstr>
      <vt:lpstr>BIH</vt:lpstr>
      <vt:lpstr>HIM</vt:lpstr>
      <vt:lpstr>HVZ</vt:lpstr>
      <vt:lpstr>OMG</vt:lpstr>
      <vt:lpstr>PHE</vt:lpstr>
      <vt:lpstr>GL1</vt:lpstr>
      <vt:lpstr>HFR</vt:lpstr>
      <vt:lpstr>HGM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Turgay T</cp:lastModifiedBy>
  <cp:revision>0</cp:revision>
  <dcterms:created xsi:type="dcterms:W3CDTF">2026-04-09T18:54:47Z</dcterms:created>
  <dcterms:modified xsi:type="dcterms:W3CDTF">2026-04-12T06:44:11Z</dcterms:modified>
  <dc:language>en-US</dc:language>
</cp:coreProperties>
</file>