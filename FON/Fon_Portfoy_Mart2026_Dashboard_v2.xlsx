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urgay T\Desktop\FON\"/>
    </mc:Choice>
  </mc:AlternateContent>
  <bookViews>
    <workbookView xWindow="0" yWindow="0" windowWidth="30720" windowHeight="11940" firstSheet="3" activeTab="23"/>
  </bookViews>
  <sheets>
    <sheet name="Ana Sayfa" sheetId="1" r:id="rId1"/>
    <sheet name="Hisse Analizi" sheetId="2" r:id="rId2"/>
    <sheet name="BMU" sheetId="3" r:id="rId3"/>
    <sheet name="DOH" sheetId="4" r:id="rId4"/>
    <sheet name="RBN" sheetId="5" r:id="rId5"/>
    <sheet name="RKH" sheetId="6" r:id="rId6"/>
    <sheet name="ST1" sheetId="7" r:id="rId7"/>
    <sheet name="THF" sheetId="8" r:id="rId8"/>
    <sheet name="BHA" sheetId="9" r:id="rId9"/>
    <sheet name="BIH" sheetId="10" r:id="rId10"/>
    <sheet name="HIM" sheetId="11" r:id="rId11"/>
    <sheet name="HVZ" sheetId="12" r:id="rId12"/>
    <sheet name="OMG" sheetId="13" r:id="rId13"/>
    <sheet name="PHE" sheetId="14" r:id="rId14"/>
    <sheet name="GL1" sheetId="15" r:id="rId15"/>
    <sheet name="HFR" sheetId="16" r:id="rId16"/>
    <sheet name="HGM" sheetId="17" r:id="rId17"/>
    <sheet name="AAV" sheetId="18" r:id="rId18"/>
    <sheet name="AED" sheetId="19" r:id="rId19"/>
    <sheet name="TLZ" sheetId="20" r:id="rId20"/>
    <sheet name="ZJL" sheetId="21" r:id="rId21"/>
    <sheet name="ZJV" sheetId="22" r:id="rId22"/>
    <sheet name="ZPE" sheetId="23" r:id="rId23"/>
    <sheet name="TZD" sheetId="24" r:id="rId24"/>
  </sheets>
  <definedNames>
    <definedName name="_xlnm._FilterDatabase" localSheetId="1" hidden="1">'Hisse Analizi'!$A$2:$Y$2</definedName>
  </definedNames>
  <calcPr calcId="162913"/>
</workbook>
</file>

<file path=xl/calcChain.xml><?xml version="1.0" encoding="utf-8"?>
<calcChain xmlns="http://schemas.openxmlformats.org/spreadsheetml/2006/main">
  <c r="E35" i="24" l="1"/>
  <c r="D35" i="24"/>
  <c r="E26" i="23"/>
  <c r="D26" i="23"/>
  <c r="E36" i="22"/>
  <c r="D36" i="22"/>
  <c r="E30" i="21"/>
  <c r="D30" i="21"/>
  <c r="E14" i="20"/>
  <c r="D14" i="20"/>
  <c r="E12" i="19"/>
  <c r="D12" i="19"/>
  <c r="E18" i="18"/>
  <c r="D18" i="18"/>
  <c r="E18" i="17"/>
  <c r="D18" i="17"/>
  <c r="E19" i="16"/>
  <c r="D19" i="16"/>
  <c r="E16" i="15"/>
  <c r="D16" i="15"/>
  <c r="E13" i="14"/>
  <c r="D13" i="14"/>
  <c r="E18" i="13"/>
  <c r="D18" i="13"/>
  <c r="E13" i="12"/>
  <c r="D13" i="12"/>
  <c r="E14" i="11"/>
  <c r="D14" i="11"/>
  <c r="E15" i="10"/>
  <c r="D15" i="10"/>
  <c r="E18" i="9"/>
  <c r="D18" i="9"/>
  <c r="E14" i="8"/>
  <c r="D14" i="8"/>
  <c r="E11" i="7"/>
  <c r="D11" i="7"/>
  <c r="E14" i="6"/>
  <c r="D14" i="6"/>
  <c r="E19" i="5"/>
  <c r="D19" i="5"/>
  <c r="E19" i="4"/>
  <c r="D19" i="4"/>
  <c r="E6" i="3"/>
  <c r="D6" i="3"/>
  <c r="E27" i="1"/>
</calcChain>
</file>

<file path=xl/sharedStrings.xml><?xml version="1.0" encoding="utf-8"?>
<sst xmlns="http://schemas.openxmlformats.org/spreadsheetml/2006/main" count="1205" uniqueCount="280">
  <si>
    <t>FON PORTFÖY ANALİZ SİSTEMİ — MART 2026</t>
  </si>
  <si>
    <t>22 Fon  |  Kaynak: Excel (15) + Ata Portföy PDF (3) + Ziraat Portföy PDF (4)</t>
  </si>
  <si>
    <t>KOD</t>
  </si>
  <si>
    <t>FON ADI</t>
  </si>
  <si>
    <t>KURUCU</t>
  </si>
  <si>
    <t>KAYNAK</t>
  </si>
  <si>
    <t>NET VARLIK DEĞERİ (TL)</t>
  </si>
  <si>
    <t>PAY FİYATI</t>
  </si>
  <si>
    <t>AYLIK DEĞİŞİM (%)</t>
  </si>
  <si>
    <t>DETAY SHEET</t>
  </si>
  <si>
    <t>BMU</t>
  </si>
  <si>
    <t>Bulls Portföy Mutlak Getiri Hedefli Fon</t>
  </si>
  <si>
    <t>Bulls Portföy Yönetimi A.Ş.</t>
  </si>
  <si>
    <t>Excel</t>
  </si>
  <si>
    <t>DOH</t>
  </si>
  <si>
    <t>Tera Portföy Dördüncü Hisse Senedi Serbest TL Fon</t>
  </si>
  <si>
    <t>Tera Portföy Yönetimi A.Ş.</t>
  </si>
  <si>
    <t>RBN</t>
  </si>
  <si>
    <t>Re-Pie Portföy Beşinci Hisse Senedi Serbest Fon</t>
  </si>
  <si>
    <t>Re-Pie Portföy Yönetimi A.Ş.</t>
  </si>
  <si>
    <t>RKH</t>
  </si>
  <si>
    <t>Re-Pie Katılım Hisse Senedi Serbest (TL) Fon</t>
  </si>
  <si>
    <t>ST1</t>
  </si>
  <si>
    <t>Strateji Portföy Birinci Hisse Senedi Fonu</t>
  </si>
  <si>
    <t>Strateji Portföy Yönetimi A.Ş.</t>
  </si>
  <si>
    <t>THF</t>
  </si>
  <si>
    <t>Tera Portföy Hisse Senedi (TL) Fonu</t>
  </si>
  <si>
    <t>BHA</t>
  </si>
  <si>
    <t>Bulls Portföy Hisse Senedi (TL) Fonu</t>
  </si>
  <si>
    <t>BIH</t>
  </si>
  <si>
    <t>Pardus PYŞ Birinci Hisse Senedi (TL) Fonu</t>
  </si>
  <si>
    <t>Pardus Portföy Yönetimi A.Ş.</t>
  </si>
  <si>
    <t>HIM</t>
  </si>
  <si>
    <t>Hedef Portföy 2. Mutlak Getiri Hedefli Fon</t>
  </si>
  <si>
    <t>Hedef Portföy Yönetimi A.Ş.</t>
  </si>
  <si>
    <t>HVZ</t>
  </si>
  <si>
    <t>Allbatross Portföy Birinci Hisse Senedi (TL) Fonu</t>
  </si>
  <si>
    <t>Allbatross Portföy Yönetimi A.Ş.</t>
  </si>
  <si>
    <t>OMG</t>
  </si>
  <si>
    <t>Azimut Portföy İkinci Hisse Senedi Fonu</t>
  </si>
  <si>
    <t>Azimut Portföy Yönetimi A.Ş.</t>
  </si>
  <si>
    <t>PHE</t>
  </si>
  <si>
    <t>Pusula Portföy Hisse Senedi Fonu</t>
  </si>
  <si>
    <t>Pusula Portföy Yönetimi A.Ş.</t>
  </si>
  <si>
    <t>GL1</t>
  </si>
  <si>
    <t>Azimut Portföy Birinci Hisse Senedi Fonu</t>
  </si>
  <si>
    <t>HFR</t>
  </si>
  <si>
    <t>A1 Capital Portföy Hisse Senedi (TL) Fonu</t>
  </si>
  <si>
    <t>A1 Capital Portföy Yönetimi A.Ş.</t>
  </si>
  <si>
    <t>HGM</t>
  </si>
  <si>
    <t>Hedef Portföy İkinci Hisse Senedi (TL) Fonu</t>
  </si>
  <si>
    <t>AAV</t>
  </si>
  <si>
    <t>Ata Portföy İkinci Hisse Senedi Fonu</t>
  </si>
  <si>
    <t>Ata Portföy Yönetimi A.Ş.</t>
  </si>
  <si>
    <t>Ata PDF</t>
  </si>
  <si>
    <t>AED</t>
  </si>
  <si>
    <t>Ata Portföy Birinci Değişken Fon</t>
  </si>
  <si>
    <t>TLZ</t>
  </si>
  <si>
    <t>Ata Portföy Katılım Hisse Senedi (TL) Fonu</t>
  </si>
  <si>
    <t>ZJL</t>
  </si>
  <si>
    <t>Ziraat Portföy BIST 100 Dışı Şirketler Hisse Senedi Fonu</t>
  </si>
  <si>
    <t>Ziraat Portföy Yönetimi A.Ş.</t>
  </si>
  <si>
    <t>Ziraat PDF</t>
  </si>
  <si>
    <t>ZJV</t>
  </si>
  <si>
    <t>Ziraat Portföy BIST 30 Dışı Yıldız Pazar Hisse Senedi Fonu</t>
  </si>
  <si>
    <t>ZPE</t>
  </si>
  <si>
    <t>Ziraat Portföy Katılım Hisse Senedi Fonu</t>
  </si>
  <si>
    <t>TZD</t>
  </si>
  <si>
    <t>Ziraat Portföy Hisse Senedi Fonu</t>
  </si>
  <si>
    <t>TOPLAM</t>
  </si>
  <si>
    <t>EN COK TUTULAN HISSELER  (22 Fon Analizi)</t>
  </si>
  <si>
    <t>HISSE</t>
  </si>
  <si>
    <t>SIRKET ADI</t>
  </si>
  <si>
    <t>FON #</t>
  </si>
  <si>
    <t>TUPRS</t>
  </si>
  <si>
    <t>Tüpraş</t>
  </si>
  <si>
    <t>ASELS</t>
  </si>
  <si>
    <t>Aselsan Elektronik</t>
  </si>
  <si>
    <t>BIMAS</t>
  </si>
  <si>
    <t>BİM Birleşik Mağazalar</t>
  </si>
  <si>
    <t>MGROS</t>
  </si>
  <si>
    <t>Migros Ticaret</t>
  </si>
  <si>
    <t>KCHOL</t>
  </si>
  <si>
    <t>Koç Holding</t>
  </si>
  <si>
    <t>YKBNK</t>
  </si>
  <si>
    <t>Yapı ve Kredi Bankası</t>
  </si>
  <si>
    <t>AKBNK</t>
  </si>
  <si>
    <t>Akbank T.A.Ş.</t>
  </si>
  <si>
    <t>MPARK</t>
  </si>
  <si>
    <t>Medical Park</t>
  </si>
  <si>
    <t>THYAO</t>
  </si>
  <si>
    <t>Türk Hava Yolları</t>
  </si>
  <si>
    <t>EREGL</t>
  </si>
  <si>
    <t>Ereğli Demir Çelik</t>
  </si>
  <si>
    <t>KRDMD</t>
  </si>
  <si>
    <t>Kardemir (D)</t>
  </si>
  <si>
    <t>GARAN</t>
  </si>
  <si>
    <t>Türkiye Garanti Bankası</t>
  </si>
  <si>
    <t>SAHOL</t>
  </si>
  <si>
    <t>Sabancı Holding</t>
  </si>
  <si>
    <t>ASTOR</t>
  </si>
  <si>
    <t>Astor Enerji</t>
  </si>
  <si>
    <t>TCELL</t>
  </si>
  <si>
    <t>Turkcell</t>
  </si>
  <si>
    <t>CIMSA</t>
  </si>
  <si>
    <t>Çimsa Çimento</t>
  </si>
  <si>
    <t>TRALT</t>
  </si>
  <si>
    <t>Türk Altın İşletmeleri</t>
  </si>
  <si>
    <t>ENJSA</t>
  </si>
  <si>
    <t>Enerjisa Enerji</t>
  </si>
  <si>
    <t>ENKAI</t>
  </si>
  <si>
    <t>Enka İnşaat</t>
  </si>
  <si>
    <t>SELEC</t>
  </si>
  <si>
    <t>Selçuk Ecza Deposu</t>
  </si>
  <si>
    <t>ISCTR</t>
  </si>
  <si>
    <t>Türkiye İş Bankası</t>
  </si>
  <si>
    <t>SUWEN</t>
  </si>
  <si>
    <t>Suwen Tekstil</t>
  </si>
  <si>
    <t>TAVHL</t>
  </si>
  <si>
    <t>TAV Havalimanları</t>
  </si>
  <si>
    <t>KLKIM</t>
  </si>
  <si>
    <t>Kalekim Kimyevi</t>
  </si>
  <si>
    <t>HTTBT</t>
  </si>
  <si>
    <t>Hitit Bilgisayar</t>
  </si>
  <si>
    <t>GLRMK</t>
  </si>
  <si>
    <t>Gülermak Ağır Sanayi</t>
  </si>
  <si>
    <t>EKGYO</t>
  </si>
  <si>
    <t>Emlak Konut GYO</t>
  </si>
  <si>
    <t>GRSEL</t>
  </si>
  <si>
    <t>Gür-Sel Turizm</t>
  </si>
  <si>
    <t>SUNTK</t>
  </si>
  <si>
    <t>Sun Tekstil</t>
  </si>
  <si>
    <t>GWIND</t>
  </si>
  <si>
    <t>Galata Wind Enerji</t>
  </si>
  <si>
    <t>GUBRF</t>
  </si>
  <si>
    <t>Gübre Fabrikaları</t>
  </si>
  <si>
    <t>ALARK</t>
  </si>
  <si>
    <t>Alarko Holding</t>
  </si>
  <si>
    <t>LIDER</t>
  </si>
  <si>
    <t>LDR Turizm</t>
  </si>
  <si>
    <t>TEHOL</t>
  </si>
  <si>
    <t>Tera Yatırım Teknoloji Holding</t>
  </si>
  <si>
    <t>ULKER</t>
  </si>
  <si>
    <t>Ülker Bisküvi</t>
  </si>
  <si>
    <t>PETKM</t>
  </si>
  <si>
    <t>Petkim Petrokimya</t>
  </si>
  <si>
    <t>GLCVY</t>
  </si>
  <si>
    <t>Gelecek Varlık Yönetimi</t>
  </si>
  <si>
    <t>EGEGY</t>
  </si>
  <si>
    <t>Ege Seramik</t>
  </si>
  <si>
    <t>TRMET</t>
  </si>
  <si>
    <t>TR Anadolu Metal</t>
  </si>
  <si>
    <t>KRDMA</t>
  </si>
  <si>
    <t>Kardemir (A)</t>
  </si>
  <si>
    <t>MAVI</t>
  </si>
  <si>
    <t>Mavi Giyim</t>
  </si>
  <si>
    <t>ANSGR</t>
  </si>
  <si>
    <t>Anadolu Sigorta</t>
  </si>
  <si>
    <t>ISMEN</t>
  </si>
  <si>
    <t>İş Yatırım Menkul Değerler</t>
  </si>
  <si>
    <t>GESAN</t>
  </si>
  <si>
    <t>Girişim Elektrik</t>
  </si>
  <si>
    <t>ISGYO</t>
  </si>
  <si>
    <t>İş GYO</t>
  </si>
  <si>
    <t>LMKDC</t>
  </si>
  <si>
    <t>Limak Doğu Anadolu Çimento</t>
  </si>
  <si>
    <t>ARDYZ</t>
  </si>
  <si>
    <t>ARD Bilişim</t>
  </si>
  <si>
    <t>KARSN</t>
  </si>
  <si>
    <t>Karsan Otomotiv</t>
  </si>
  <si>
    <t>DOHOL</t>
  </si>
  <si>
    <t>Doğan Holding</t>
  </si>
  <si>
    <t>LKMNH</t>
  </si>
  <si>
    <t>Lokman Hekim</t>
  </si>
  <si>
    <t>ORGE</t>
  </si>
  <si>
    <t>Orge Enerji Elektrik</t>
  </si>
  <si>
    <t>YATAS</t>
  </si>
  <si>
    <t>Yataş</t>
  </si>
  <si>
    <t>INDES</t>
  </si>
  <si>
    <t>İndeks Bilgisayar</t>
  </si>
  <si>
    <t>LILAK</t>
  </si>
  <si>
    <t>Lila Kağıt</t>
  </si>
  <si>
    <t>YYLGD</t>
  </si>
  <si>
    <t>Yayla Agro Gıda</t>
  </si>
  <si>
    <t>HRKET</t>
  </si>
  <si>
    <t>Hareket Proje</t>
  </si>
  <si>
    <t>TATEN</t>
  </si>
  <si>
    <t>Tatlıpınar Enerji</t>
  </si>
  <si>
    <t>DMRGD</t>
  </si>
  <si>
    <t>DMR Unlu Mamuller</t>
  </si>
  <si>
    <t>TERA</t>
  </si>
  <si>
    <t>Tera Menkul Değerler</t>
  </si>
  <si>
    <t>HALKB</t>
  </si>
  <si>
    <t>T. Halk Bankası</t>
  </si>
  <si>
    <t>A1YEN</t>
  </si>
  <si>
    <t>Kartal Yenilenebilir Enerji</t>
  </si>
  <si>
    <t>PEKGY</t>
  </si>
  <si>
    <t>Peker GYO</t>
  </si>
  <si>
    <t>GLYHO</t>
  </si>
  <si>
    <t>Global Yatırım Holding</t>
  </si>
  <si>
    <t>KMPUR</t>
  </si>
  <si>
    <t>Kimteks Poliüretan</t>
  </si>
  <si>
    <t>AEFES</t>
  </si>
  <si>
    <t>Anadolu Efes</t>
  </si>
  <si>
    <t>SISE</t>
  </si>
  <si>
    <t>Şişe Cam</t>
  </si>
  <si>
    <t>TRGYO</t>
  </si>
  <si>
    <t>Torunlar GYO</t>
  </si>
  <si>
    <t>IZENR</t>
  </si>
  <si>
    <t>İzdemir Enerji</t>
  </si>
  <si>
    <t>AKSGY</t>
  </si>
  <si>
    <t>Akiş GYO</t>
  </si>
  <si>
    <t>FROTO</t>
  </si>
  <si>
    <t>Ford Otomotiv</t>
  </si>
  <si>
    <t>NTGAZ</t>
  </si>
  <si>
    <t>Naturelgaz Sanayi</t>
  </si>
  <si>
    <t>TRENJ</t>
  </si>
  <si>
    <t>TR Doğal Enerji</t>
  </si>
  <si>
    <t>TRHOL</t>
  </si>
  <si>
    <t>Tera Finansal Yatırımlar</t>
  </si>
  <si>
    <t>AYGAZ</t>
  </si>
  <si>
    <t>Aygaz</t>
  </si>
  <si>
    <t>BRSAN</t>
  </si>
  <si>
    <t>Borusan Mannesmann</t>
  </si>
  <si>
    <t>HEKTS</t>
  </si>
  <si>
    <t>Hektaş Ticaret</t>
  </si>
  <si>
    <t>TATGD</t>
  </si>
  <si>
    <t>Tat Gıda</t>
  </si>
  <si>
    <t>KCAER</t>
  </si>
  <si>
    <t>Kocaer Çelik</t>
  </si>
  <si>
    <t>RUZYE</t>
  </si>
  <si>
    <t>Ruzy Madencilik</t>
  </si>
  <si>
    <t>DEVA</t>
  </si>
  <si>
    <t>Deva Holding</t>
  </si>
  <si>
    <t>TABGD</t>
  </si>
  <si>
    <t>Tab Gıda Sanayi</t>
  </si>
  <si>
    <t>ALBRK</t>
  </si>
  <si>
    <t>Albaraka Türk Katılım</t>
  </si>
  <si>
    <t>CCOLA</t>
  </si>
  <si>
    <t>Coca-Cola İçecek</t>
  </si>
  <si>
    <t>SNGYO</t>
  </si>
  <si>
    <t>Sinpaş GYO</t>
  </si>
  <si>
    <t>AFYON</t>
  </si>
  <si>
    <t>Afyon Çimento</t>
  </si>
  <si>
    <t>ALTNY</t>
  </si>
  <si>
    <t>Altınay Savunma</t>
  </si>
  <si>
    <t>BIOEN</t>
  </si>
  <si>
    <t>Biotrend Çevre ve Enerji</t>
  </si>
  <si>
    <t>BMU — Bulls Portföy Mutlak Getiri Hedefli Fon</t>
  </si>
  <si>
    <t>Kurucu</t>
  </si>
  <si>
    <t>Kaynak</t>
  </si>
  <si>
    <t>Net Varlık Değeri (TL)</t>
  </si>
  <si>
    <t>Pay Fiyatı</t>
  </si>
  <si>
    <t>Aylık Değişim</t>
  </si>
  <si>
    <t>HİSSE KODU</t>
  </si>
  <si>
    <t>ŞİRKET ADI</t>
  </si>
  <si>
    <t>NOMİNAL DEĞER</t>
  </si>
  <si>
    <t>TOPLAM DEĞER (TL)</t>
  </si>
  <si>
    <t>AĞIRLIK %</t>
  </si>
  <si>
    <t>DOH — Tera Portföy Dördüncü Hisse Senedi Serbest TL Fon</t>
  </si>
  <si>
    <t>RBN — Re-Pie Portföy Beşinci Hisse Senedi Serbest Fon</t>
  </si>
  <si>
    <t>RKH — Re-Pie Katılım Hisse Senedi Serbest (TL) Fon</t>
  </si>
  <si>
    <t>ST1 — Strateji Portföy Birinci Hisse Senedi Fonu</t>
  </si>
  <si>
    <t>THF — Tera Portföy Hisse Senedi (TL) Fonu</t>
  </si>
  <si>
    <t>BHA — Bulls Portföy Hisse Senedi (TL) Fonu</t>
  </si>
  <si>
    <t>BIH — Pardus PYŞ Birinci Hisse Senedi (TL) Fonu</t>
  </si>
  <si>
    <t>HIM — Hedef Portföy 2. Mutlak Getiri Hedefli Fon</t>
  </si>
  <si>
    <t>HVZ — Allbatross Portföy Birinci Hisse Senedi (TL) Fonu</t>
  </si>
  <si>
    <t>OMG — Azimut Portföy İkinci Hisse Senedi Fonu</t>
  </si>
  <si>
    <t>PHE — Pusula Portföy Hisse Senedi Fonu</t>
  </si>
  <si>
    <t>GL1 — Azimut Portföy Birinci Hisse Senedi Fonu</t>
  </si>
  <si>
    <t>HFR — A1 Capital Portföy Hisse Senedi (TL) Fonu</t>
  </si>
  <si>
    <t>HGM — Hedef Portföy İkinci Hisse Senedi (TL) Fonu</t>
  </si>
  <si>
    <t>AAV — Ata Portföy İkinci Hisse Senedi Fonu</t>
  </si>
  <si>
    <t>AED — Ata Portföy Birinci Değişken Fon</t>
  </si>
  <si>
    <t>TLZ — Ata Portföy Katılım Hisse Senedi (TL) Fonu</t>
  </si>
  <si>
    <t>ZJL — Ziraat Portföy BIST 100 Dışı Şirketler Hisse Senedi Fonu</t>
  </si>
  <si>
    <t>ZJV — Ziraat Portföy BIST 30 Dışı Yıldız Pazar Hisse Senedi Fonu</t>
  </si>
  <si>
    <t>ZPE — Ziraat Portföy Katılım Hisse Senedi Fonu</t>
  </si>
  <si>
    <t>TZD — Ziraat Portföy Hisse Senedi Fonu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</si>
</sst>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9C0006"/>
      <name val="Arial"/>
    </font>
    <font>
      <b/>
      <sz val="10"/>
      <color rgb="FF375623"/>
      <name val="Arial"/>
    </font>
    <font>
      <b/>
      <sz val="10"/>
      <color rgb="FF000000"/>
      <name val="Arial"/>
    </font>
    <font>
      <b/>
      <sz val="12"/>
      <color rgb="FFFFFFFF"/>
      <name val="Arial"/>
    </font>
    <font>
      <b/>
      <sz val="13"/>
      <color rgb="FFFFFFFF"/>
      <name val="Arial"/>
    </font>
    <font>
      <b/>
      <sz val="9"/>
      <color rgb="FFFFFFFF"/>
      <name val="Arial"/>
    </font>
    <font>
      <sz val="9"/>
      <color rgb="FF1F3864"/>
      <name val="Arial"/>
    </font>
    <font>
      <b/>
      <sz val="9"/>
      <color rgb="FF1F3864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0"/>
      <color rgb="FFC55A00"/>
      <name val="Arial"/>
    </font>
  </fonts>
  <fills count="2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EA3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FFC7CE"/>
      </patternFill>
    </fill>
    <fill>
      <patternFill patternType="solid">
        <fgColor rgb="FFEBF3FB"/>
      </patternFill>
    </fill>
    <fill>
      <patternFill patternType="solid">
        <fgColor rgb="FFC6EFCE"/>
      </patternFill>
    </fill>
    <fill>
      <patternFill patternType="solid">
        <fgColor rgb="FFDDEEFF"/>
      </patternFill>
    </fill>
    <fill>
      <patternFill patternType="solid">
        <fgColor rgb="FFE2EFDA"/>
      </patternFill>
    </fill>
    <fill>
      <patternFill patternType="solid">
        <fgColor rgb="FFD6E4F7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1F3864"/>
      </patternFill>
    </fill>
    <fill>
      <patternFill patternType="solid">
        <fgColor rgb="FF1F5C8B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5B9BD5"/>
      </patternFill>
    </fill>
    <fill>
      <patternFill patternType="solid">
        <fgColor rgb="FFEBF3FB"/>
      </patternFill>
    </fill>
    <fill>
      <patternFill patternType="solid">
        <fgColor rgb="FF9DC3E6"/>
      </patternFill>
    </fill>
    <fill>
      <patternFill patternType="solid">
        <fgColor rgb="FF2E75B6"/>
      </patternFill>
    </fill>
    <fill>
      <patternFill patternType="solid">
        <fgColor rgb="FF1F4E79"/>
      </patternFill>
    </fill>
  </fills>
  <borders count="5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3" fontId="3" fillId="5" borderId="1" xfId="0" applyNumberFormat="1" applyFont="1" applyFill="1" applyBorder="1" applyAlignment="1">
      <alignment horizontal="right" vertical="center"/>
    </xf>
    <xf numFmtId="164" fontId="3" fillId="5" borderId="1" xfId="0" applyNumberFormat="1" applyFont="1" applyFill="1" applyBorder="1" applyAlignment="1">
      <alignment horizontal="right" vertical="center"/>
    </xf>
    <xf numFmtId="10" fontId="4" fillId="6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/>
    </xf>
    <xf numFmtId="3" fontId="3" fillId="7" borderId="1" xfId="0" applyNumberFormat="1" applyFont="1" applyFill="1" applyBorder="1" applyAlignment="1">
      <alignment horizontal="right" vertical="center"/>
    </xf>
    <xf numFmtId="164" fontId="3" fillId="7" borderId="1" xfId="0" applyNumberFormat="1" applyFont="1" applyFill="1" applyBorder="1" applyAlignment="1">
      <alignment horizontal="right" vertical="center"/>
    </xf>
    <xf numFmtId="10" fontId="5" fillId="8" borderId="1" xfId="0" applyNumberFormat="1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/>
    </xf>
    <xf numFmtId="3" fontId="3" fillId="9" borderId="1" xfId="0" applyNumberFormat="1" applyFont="1" applyFill="1" applyBorder="1" applyAlignment="1">
      <alignment horizontal="right" vertical="center"/>
    </xf>
    <xf numFmtId="164" fontId="3" fillId="9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/>
    </xf>
    <xf numFmtId="3" fontId="3" fillId="10" borderId="1" xfId="0" applyNumberFormat="1" applyFont="1" applyFill="1" applyBorder="1" applyAlignment="1">
      <alignment horizontal="right" vertical="center"/>
    </xf>
    <xf numFmtId="164" fontId="3" fillId="10" borderId="1" xfId="0" applyNumberFormat="1" applyFont="1" applyFill="1" applyBorder="1" applyAlignment="1">
      <alignment horizontal="right" vertical="center"/>
    </xf>
    <xf numFmtId="3" fontId="6" fillId="11" borderId="1" xfId="0" applyNumberFormat="1" applyFont="1" applyFill="1" applyBorder="1" applyAlignment="1">
      <alignment horizontal="right" vertical="center"/>
    </xf>
    <xf numFmtId="0" fontId="6" fillId="11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right" vertical="center"/>
    </xf>
    <xf numFmtId="10" fontId="3" fillId="5" borderId="1" xfId="0" applyNumberFormat="1" applyFont="1" applyFill="1" applyBorder="1" applyAlignment="1">
      <alignment horizontal="right" vertical="center"/>
    </xf>
    <xf numFmtId="0" fontId="0" fillId="11" borderId="1" xfId="0" applyFill="1" applyBorder="1"/>
    <xf numFmtId="10" fontId="6" fillId="11" borderId="1" xfId="0" applyNumberFormat="1" applyFont="1" applyFill="1" applyBorder="1" applyAlignment="1">
      <alignment horizontal="right" vertical="center"/>
    </xf>
    <xf numFmtId="10" fontId="3" fillId="7" borderId="1" xfId="0" applyNumberFormat="1" applyFont="1" applyFill="1" applyBorder="1" applyAlignment="1">
      <alignment horizontal="right" vertical="center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/>
    <xf numFmtId="10" fontId="10" fillId="18" borderId="4" xfId="0" applyNumberFormat="1" applyFont="1" applyFill="1" applyBorder="1" applyAlignment="1">
      <alignment horizontal="center" vertical="center"/>
    </xf>
    <xf numFmtId="10" fontId="9" fillId="19" borderId="4" xfId="0" applyNumberFormat="1" applyFont="1" applyFill="1" applyBorder="1" applyAlignment="1">
      <alignment horizontal="center" vertical="center"/>
    </xf>
    <xf numFmtId="10" fontId="11" fillId="21" borderId="4" xfId="0" applyNumberFormat="1" applyFont="1" applyFill="1" applyBorder="1" applyAlignment="1">
      <alignment horizontal="center" vertical="center"/>
    </xf>
    <xf numFmtId="10" fontId="9" fillId="22" borderId="4" xfId="0" applyNumberFormat="1" applyFont="1" applyFill="1" applyBorder="1" applyAlignment="1">
      <alignment horizontal="center" vertical="center"/>
    </xf>
    <xf numFmtId="0" fontId="9" fillId="14" borderId="4" xfId="0" applyFont="1" applyFill="1" applyBorder="1" applyAlignment="1">
      <alignment horizontal="center" vertical="center"/>
    </xf>
    <xf numFmtId="0" fontId="9" fillId="15" borderId="4" xfId="0" applyFont="1" applyFill="1" applyBorder="1" applyAlignment="1">
      <alignment horizontal="center" vertical="center"/>
    </xf>
    <xf numFmtId="0" fontId="9" fillId="16" borderId="4" xfId="0" applyFont="1" applyFill="1" applyBorder="1" applyAlignment="1">
      <alignment horizontal="center" vertical="center"/>
    </xf>
    <xf numFmtId="0" fontId="12" fillId="17" borderId="4" xfId="0" applyFont="1" applyFill="1" applyBorder="1" applyAlignment="1">
      <alignment horizontal="center" vertical="center"/>
    </xf>
    <xf numFmtId="0" fontId="13" fillId="17" borderId="4" xfId="0" applyFont="1" applyFill="1" applyBorder="1" applyAlignment="1">
      <alignment horizontal="left" vertical="center"/>
    </xf>
    <xf numFmtId="0" fontId="14" fillId="17" borderId="4" xfId="0" applyFont="1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12" fillId="20" borderId="4" xfId="0" applyFont="1" applyFill="1" applyBorder="1" applyAlignment="1">
      <alignment horizontal="center" vertical="center"/>
    </xf>
    <xf numFmtId="0" fontId="13" fillId="20" borderId="4" xfId="0" applyFont="1" applyFill="1" applyBorder="1" applyAlignment="1">
      <alignment horizontal="left" vertical="center"/>
    </xf>
    <xf numFmtId="0" fontId="14" fillId="20" borderId="4" xfId="0" applyFont="1" applyFill="1" applyBorder="1" applyAlignment="1">
      <alignment horizontal="center" vertical="center"/>
    </xf>
    <xf numFmtId="0" fontId="0" fillId="20" borderId="4" xfId="0" applyFill="1" applyBorder="1" applyAlignment="1">
      <alignment horizontal="center" vertical="center"/>
    </xf>
    <xf numFmtId="10" fontId="9" fillId="23" borderId="4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8" fillId="1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7" fillId="12" borderId="0" xfId="0" applyFont="1" applyFill="1" applyAlignment="1">
      <alignment horizontal="center" vertical="center" wrapText="1"/>
    </xf>
    <xf numFmtId="0" fontId="7" fillId="1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4" topLeftCell="A17" activePane="bottomLeft" state="frozen"/>
      <selection pane="bottomLeft" activeCell="K19" sqref="K19"/>
    </sheetView>
  </sheetViews>
  <sheetFormatPr defaultRowHeight="15" x14ac:dyDescent="0.25"/>
  <cols>
    <col min="1" max="1" width="7" style="30" customWidth="1"/>
    <col min="2" max="2" width="52" style="30" customWidth="1"/>
    <col min="3" max="3" width="35" style="30" customWidth="1"/>
    <col min="4" max="4" width="12" style="30" customWidth="1"/>
    <col min="5" max="5" width="22" style="30" customWidth="1"/>
    <col min="6" max="6" width="14" style="30" customWidth="1"/>
    <col min="7" max="7" width="16" style="30" customWidth="1"/>
    <col min="8" max="8" width="10" style="30" customWidth="1"/>
  </cols>
  <sheetData>
    <row r="1" spans="1:8" ht="32.1" customHeight="1" x14ac:dyDescent="0.25">
      <c r="A1" s="52" t="s">
        <v>0</v>
      </c>
      <c r="B1" s="51"/>
      <c r="C1" s="51"/>
      <c r="D1" s="51"/>
      <c r="E1" s="51"/>
      <c r="F1" s="51"/>
      <c r="G1" s="51"/>
      <c r="H1" s="51"/>
    </row>
    <row r="2" spans="1:8" ht="20.100000000000001" customHeight="1" x14ac:dyDescent="0.25">
      <c r="A2" s="50" t="s">
        <v>1</v>
      </c>
      <c r="B2" s="51"/>
      <c r="C2" s="51"/>
      <c r="D2" s="51"/>
      <c r="E2" s="51"/>
      <c r="F2" s="51"/>
      <c r="G2" s="51"/>
      <c r="H2" s="51"/>
    </row>
    <row r="3" spans="1:8" ht="6" customHeight="1" x14ac:dyDescent="0.25"/>
    <row r="4" spans="1:8" ht="36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18" customHeight="1" x14ac:dyDescent="0.25">
      <c r="A5" s="2" t="s">
        <v>10</v>
      </c>
      <c r="B5" s="3" t="s">
        <v>11</v>
      </c>
      <c r="C5" s="3" t="s">
        <v>12</v>
      </c>
      <c r="D5" s="2" t="s">
        <v>13</v>
      </c>
      <c r="E5" s="4">
        <v>808693167.33000004</v>
      </c>
      <c r="F5" s="5">
        <v>0.87934599999999996</v>
      </c>
      <c r="G5" s="6">
        <v>-0.1109</v>
      </c>
      <c r="H5" s="3" t="s">
        <v>10</v>
      </c>
    </row>
    <row r="6" spans="1:8" ht="18" customHeight="1" x14ac:dyDescent="0.25">
      <c r="A6" s="7" t="s">
        <v>14</v>
      </c>
      <c r="B6" s="8" t="s">
        <v>15</v>
      </c>
      <c r="C6" s="8" t="s">
        <v>16</v>
      </c>
      <c r="D6" s="7" t="s">
        <v>13</v>
      </c>
      <c r="E6" s="9">
        <v>751586597.69000006</v>
      </c>
      <c r="F6" s="10">
        <v>1.9083019999999999</v>
      </c>
      <c r="G6" s="11">
        <v>3.09E-2</v>
      </c>
      <c r="H6" s="8" t="s">
        <v>14</v>
      </c>
    </row>
    <row r="7" spans="1:8" ht="18" customHeight="1" x14ac:dyDescent="0.25">
      <c r="A7" s="2" t="s">
        <v>17</v>
      </c>
      <c r="B7" s="3" t="s">
        <v>18</v>
      </c>
      <c r="C7" s="3" t="s">
        <v>19</v>
      </c>
      <c r="D7" s="2" t="s">
        <v>13</v>
      </c>
      <c r="E7" s="4">
        <v>39692727.25</v>
      </c>
      <c r="F7" s="5">
        <v>1.5477479999999999</v>
      </c>
      <c r="G7" s="11">
        <v>0.14369999999999999</v>
      </c>
      <c r="H7" s="3" t="s">
        <v>17</v>
      </c>
    </row>
    <row r="8" spans="1:8" ht="18" customHeight="1" x14ac:dyDescent="0.25">
      <c r="A8" s="7" t="s">
        <v>20</v>
      </c>
      <c r="B8" s="8" t="s">
        <v>21</v>
      </c>
      <c r="C8" s="8" t="s">
        <v>19</v>
      </c>
      <c r="D8" s="7" t="s">
        <v>13</v>
      </c>
      <c r="E8" s="9">
        <v>7765850.4699999997</v>
      </c>
      <c r="F8" s="10">
        <v>0.92948699999999995</v>
      </c>
      <c r="G8" s="11">
        <v>3.1300000000000001E-2</v>
      </c>
      <c r="H8" s="8" t="s">
        <v>20</v>
      </c>
    </row>
    <row r="9" spans="1:8" ht="18" customHeight="1" x14ac:dyDescent="0.25">
      <c r="A9" s="2" t="s">
        <v>22</v>
      </c>
      <c r="B9" s="3" t="s">
        <v>23</v>
      </c>
      <c r="C9" s="3" t="s">
        <v>24</v>
      </c>
      <c r="D9" s="2" t="s">
        <v>13</v>
      </c>
      <c r="E9" s="4">
        <v>653504993.00999999</v>
      </c>
      <c r="F9" s="5">
        <v>178.175862</v>
      </c>
      <c r="G9" s="6">
        <v>-6.88E-2</v>
      </c>
      <c r="H9" s="3" t="s">
        <v>22</v>
      </c>
    </row>
    <row r="10" spans="1:8" ht="18" customHeight="1" x14ac:dyDescent="0.25">
      <c r="A10" s="7" t="s">
        <v>25</v>
      </c>
      <c r="B10" s="8" t="s">
        <v>26</v>
      </c>
      <c r="C10" s="8" t="s">
        <v>16</v>
      </c>
      <c r="D10" s="7" t="s">
        <v>13</v>
      </c>
      <c r="E10" s="9">
        <v>841767965.19000006</v>
      </c>
      <c r="F10" s="10">
        <v>1.9923900000000001</v>
      </c>
      <c r="G10" s="11">
        <v>4.8499999999999988E-2</v>
      </c>
      <c r="H10" s="8" t="s">
        <v>25</v>
      </c>
    </row>
    <row r="11" spans="1:8" ht="18" customHeight="1" x14ac:dyDescent="0.25">
      <c r="A11" s="2" t="s">
        <v>27</v>
      </c>
      <c r="B11" s="3" t="s">
        <v>28</v>
      </c>
      <c r="C11" s="3" t="s">
        <v>12</v>
      </c>
      <c r="D11" s="2" t="s">
        <v>13</v>
      </c>
      <c r="E11" s="4">
        <v>118568326.2</v>
      </c>
      <c r="F11" s="5">
        <v>1.532151</v>
      </c>
      <c r="G11" s="11">
        <v>6.2600000000000003E-2</v>
      </c>
      <c r="H11" s="3" t="s">
        <v>27</v>
      </c>
    </row>
    <row r="12" spans="1:8" ht="18" customHeight="1" x14ac:dyDescent="0.25">
      <c r="A12" s="7" t="s">
        <v>29</v>
      </c>
      <c r="B12" s="8" t="s">
        <v>30</v>
      </c>
      <c r="C12" s="8" t="s">
        <v>31</v>
      </c>
      <c r="D12" s="7" t="s">
        <v>13</v>
      </c>
      <c r="E12" s="9">
        <v>725583664.72000003</v>
      </c>
      <c r="F12" s="10">
        <v>7.1771609999999999</v>
      </c>
      <c r="G12" s="6">
        <v>-1.34E-2</v>
      </c>
      <c r="H12" s="8" t="s">
        <v>29</v>
      </c>
    </row>
    <row r="13" spans="1:8" ht="18" customHeight="1" x14ac:dyDescent="0.25">
      <c r="A13" s="2" t="s">
        <v>32</v>
      </c>
      <c r="B13" s="3" t="s">
        <v>33</v>
      </c>
      <c r="C13" s="3" t="s">
        <v>34</v>
      </c>
      <c r="D13" s="2" t="s">
        <v>13</v>
      </c>
      <c r="E13" s="4">
        <v>419300578.58999997</v>
      </c>
      <c r="F13" s="5">
        <v>3.3968219999999998</v>
      </c>
      <c r="G13" s="6">
        <v>-3.09E-2</v>
      </c>
      <c r="H13" s="3" t="s">
        <v>32</v>
      </c>
    </row>
    <row r="14" spans="1:8" ht="18" customHeight="1" x14ac:dyDescent="0.25">
      <c r="A14" s="7" t="s">
        <v>35</v>
      </c>
      <c r="B14" s="8" t="s">
        <v>36</v>
      </c>
      <c r="C14" s="8" t="s">
        <v>37</v>
      </c>
      <c r="D14" s="7" t="s">
        <v>13</v>
      </c>
      <c r="E14" s="9">
        <v>100698268.42</v>
      </c>
      <c r="F14" s="10">
        <v>7.0142910000000001</v>
      </c>
      <c r="G14" s="11">
        <v>0.10199999999999999</v>
      </c>
      <c r="H14" s="8" t="s">
        <v>35</v>
      </c>
    </row>
    <row r="15" spans="1:8" ht="18" customHeight="1" x14ac:dyDescent="0.25">
      <c r="A15" s="2" t="s">
        <v>38</v>
      </c>
      <c r="B15" s="3" t="s">
        <v>39</v>
      </c>
      <c r="C15" s="3" t="s">
        <v>40</v>
      </c>
      <c r="D15" s="2" t="s">
        <v>13</v>
      </c>
      <c r="E15" s="4">
        <v>1164670121.5699999</v>
      </c>
      <c r="F15" s="5">
        <v>1.6714150000000001</v>
      </c>
      <c r="G15" s="11">
        <v>3.7499999999999999E-2</v>
      </c>
      <c r="H15" s="3" t="s">
        <v>38</v>
      </c>
    </row>
    <row r="16" spans="1:8" ht="18" customHeight="1" x14ac:dyDescent="0.25">
      <c r="A16" s="7" t="s">
        <v>41</v>
      </c>
      <c r="B16" s="8" t="s">
        <v>42</v>
      </c>
      <c r="C16" s="8" t="s">
        <v>43</v>
      </c>
      <c r="D16" s="7" t="s">
        <v>13</v>
      </c>
      <c r="E16" s="9">
        <v>20874300023.599998</v>
      </c>
      <c r="F16" s="10">
        <v>2.2725659999999999</v>
      </c>
      <c r="G16" s="6">
        <v>-0.1283</v>
      </c>
      <c r="H16" s="8" t="s">
        <v>41</v>
      </c>
    </row>
    <row r="17" spans="1:8" ht="18" customHeight="1" x14ac:dyDescent="0.25">
      <c r="A17" s="2" t="s">
        <v>44</v>
      </c>
      <c r="B17" s="3" t="s">
        <v>45</v>
      </c>
      <c r="C17" s="3" t="s">
        <v>40</v>
      </c>
      <c r="D17" s="2" t="s">
        <v>13</v>
      </c>
      <c r="E17" s="4">
        <v>1228525001.76</v>
      </c>
      <c r="F17" s="5">
        <v>1417.775054</v>
      </c>
      <c r="G17" s="11">
        <v>7.6200000000000004E-2</v>
      </c>
      <c r="H17" s="3" t="s">
        <v>44</v>
      </c>
    </row>
    <row r="18" spans="1:8" ht="18" customHeight="1" x14ac:dyDescent="0.25">
      <c r="A18" s="7" t="s">
        <v>46</v>
      </c>
      <c r="B18" s="8" t="s">
        <v>47</v>
      </c>
      <c r="C18" s="8" t="s">
        <v>48</v>
      </c>
      <c r="D18" s="7" t="s">
        <v>13</v>
      </c>
      <c r="E18" s="9">
        <v>88211135.659999996</v>
      </c>
      <c r="F18" s="10">
        <v>1.433457</v>
      </c>
      <c r="G18" s="11">
        <v>6.0599999999999987E-2</v>
      </c>
      <c r="H18" s="8" t="s">
        <v>46</v>
      </c>
    </row>
    <row r="19" spans="1:8" ht="18" customHeight="1" x14ac:dyDescent="0.25">
      <c r="A19" s="2" t="s">
        <v>49</v>
      </c>
      <c r="B19" s="3" t="s">
        <v>50</v>
      </c>
      <c r="C19" s="3" t="s">
        <v>34</v>
      </c>
      <c r="D19" s="2" t="s">
        <v>13</v>
      </c>
      <c r="E19" s="4">
        <v>114746135</v>
      </c>
      <c r="F19" s="5">
        <v>3.6192820000000001</v>
      </c>
      <c r="G19" s="11">
        <v>9.8999999999999991E-3</v>
      </c>
      <c r="H19" s="3" t="s">
        <v>49</v>
      </c>
    </row>
    <row r="20" spans="1:8" ht="18" customHeight="1" x14ac:dyDescent="0.25">
      <c r="A20" s="12" t="s">
        <v>51</v>
      </c>
      <c r="B20" s="13" t="s">
        <v>52</v>
      </c>
      <c r="C20" s="13" t="s">
        <v>53</v>
      </c>
      <c r="D20" s="12" t="s">
        <v>54</v>
      </c>
      <c r="E20" s="14">
        <v>288132886.61000001</v>
      </c>
      <c r="F20" s="15">
        <v>57.371628999999999</v>
      </c>
      <c r="G20" s="6">
        <v>-7.5899999999999995E-2</v>
      </c>
      <c r="H20" s="13" t="s">
        <v>51</v>
      </c>
    </row>
    <row r="21" spans="1:8" ht="18" customHeight="1" x14ac:dyDescent="0.25">
      <c r="A21" s="12" t="s">
        <v>55</v>
      </c>
      <c r="B21" s="13" t="s">
        <v>56</v>
      </c>
      <c r="C21" s="13" t="s">
        <v>53</v>
      </c>
      <c r="D21" s="12" t="s">
        <v>54</v>
      </c>
      <c r="E21" s="14">
        <v>42333595.979999997</v>
      </c>
      <c r="F21" s="15">
        <v>101.806695</v>
      </c>
      <c r="G21" s="6">
        <v>-5.1100000000000013E-2</v>
      </c>
      <c r="H21" s="13" t="s">
        <v>55</v>
      </c>
    </row>
    <row r="22" spans="1:8" ht="18" customHeight="1" x14ac:dyDescent="0.25">
      <c r="A22" s="12" t="s">
        <v>57</v>
      </c>
      <c r="B22" s="13" t="s">
        <v>58</v>
      </c>
      <c r="C22" s="13" t="s">
        <v>53</v>
      </c>
      <c r="D22" s="12" t="s">
        <v>54</v>
      </c>
      <c r="E22" s="14">
        <v>51526123.539999999</v>
      </c>
      <c r="F22" s="15">
        <v>15.930467</v>
      </c>
      <c r="G22" s="6">
        <v>-2.4500000000000001E-2</v>
      </c>
      <c r="H22" s="13" t="s">
        <v>57</v>
      </c>
    </row>
    <row r="23" spans="1:8" ht="18" customHeight="1" x14ac:dyDescent="0.25">
      <c r="A23" s="16" t="s">
        <v>59</v>
      </c>
      <c r="B23" s="17" t="s">
        <v>60</v>
      </c>
      <c r="C23" s="17" t="s">
        <v>61</v>
      </c>
      <c r="D23" s="16" t="s">
        <v>62</v>
      </c>
      <c r="E23" s="18">
        <v>388007923.12</v>
      </c>
      <c r="F23" s="19">
        <v>12.663397</v>
      </c>
      <c r="G23" s="6">
        <v>-7.7100000000000002E-2</v>
      </c>
      <c r="H23" s="17" t="s">
        <v>59</v>
      </c>
    </row>
    <row r="24" spans="1:8" ht="18" customHeight="1" x14ac:dyDescent="0.25">
      <c r="A24" s="16" t="s">
        <v>63</v>
      </c>
      <c r="B24" s="17" t="s">
        <v>64</v>
      </c>
      <c r="C24" s="17" t="s">
        <v>61</v>
      </c>
      <c r="D24" s="16" t="s">
        <v>62</v>
      </c>
      <c r="E24" s="18">
        <v>167235146.25</v>
      </c>
      <c r="F24" s="19">
        <v>9.7084039999999998</v>
      </c>
      <c r="G24" s="6">
        <v>-9.1899999999999996E-2</v>
      </c>
      <c r="H24" s="17" t="s">
        <v>63</v>
      </c>
    </row>
    <row r="25" spans="1:8" ht="18" customHeight="1" x14ac:dyDescent="0.25">
      <c r="A25" s="16" t="s">
        <v>65</v>
      </c>
      <c r="B25" s="17" t="s">
        <v>66</v>
      </c>
      <c r="C25" s="17" t="s">
        <v>61</v>
      </c>
      <c r="D25" s="16" t="s">
        <v>62</v>
      </c>
      <c r="E25" s="18">
        <v>1093163866.5699999</v>
      </c>
      <c r="F25" s="19">
        <v>29.362404999999999</v>
      </c>
      <c r="G25" s="6">
        <v>-4.4999999999999998E-2</v>
      </c>
      <c r="H25" s="17" t="s">
        <v>65</v>
      </c>
    </row>
    <row r="26" spans="1:8" ht="18" customHeight="1" x14ac:dyDescent="0.25">
      <c r="A26" s="16" t="s">
        <v>67</v>
      </c>
      <c r="B26" s="17" t="s">
        <v>68</v>
      </c>
      <c r="C26" s="17" t="s">
        <v>61</v>
      </c>
      <c r="D26" s="16" t="s">
        <v>62</v>
      </c>
      <c r="E26" s="18">
        <v>1127986514.3499999</v>
      </c>
      <c r="F26" s="19">
        <v>2.1721789999999999</v>
      </c>
      <c r="G26" s="6">
        <v>-9.2200000000000004E-2</v>
      </c>
      <c r="H26" s="17" t="s">
        <v>67</v>
      </c>
    </row>
    <row r="27" spans="1:8" x14ac:dyDescent="0.25">
      <c r="A27" s="47" t="s">
        <v>69</v>
      </c>
      <c r="B27" s="48"/>
      <c r="C27" s="48"/>
      <c r="D27" s="49"/>
      <c r="E27" s="20">
        <f>SUM(E5:E26)</f>
        <v>31096000612.879993</v>
      </c>
      <c r="F27" s="29"/>
      <c r="G27" s="29"/>
      <c r="H27" s="29"/>
    </row>
  </sheetData>
  <mergeCells count="3">
    <mergeCell ref="A27:D27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9"/>
  <sheetViews>
    <sheetView workbookViewId="0">
      <pane xSplit="3" ySplit="2" topLeftCell="D15" activePane="bottomRight" state="frozen"/>
      <selection pane="topRight"/>
      <selection pane="bottomLeft"/>
      <selection pane="bottomRight" activeCell="L15" sqref="L15"/>
    </sheetView>
  </sheetViews>
  <sheetFormatPr defaultRowHeight="15" x14ac:dyDescent="0.25"/>
  <cols>
    <col min="1" max="1" width="8" style="30" customWidth="1"/>
    <col min="2" max="2" width="26" style="30" customWidth="1"/>
    <col min="3" max="3" width="6" style="30" customWidth="1"/>
    <col min="4" max="25" width="7.140625" style="30" customWidth="1"/>
  </cols>
  <sheetData>
    <row r="1" spans="1:25" ht="30" customHeight="1" x14ac:dyDescent="0.25">
      <c r="A1" s="53" t="s">
        <v>70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spans="1:25" ht="42" customHeight="1" x14ac:dyDescent="0.25">
      <c r="A2" s="35" t="s">
        <v>71</v>
      </c>
      <c r="B2" s="35" t="s">
        <v>72</v>
      </c>
      <c r="C2" s="35" t="s">
        <v>73</v>
      </c>
      <c r="D2" s="35" t="s">
        <v>10</v>
      </c>
      <c r="E2" s="35" t="s">
        <v>14</v>
      </c>
      <c r="F2" s="35" t="s">
        <v>17</v>
      </c>
      <c r="G2" s="35" t="s">
        <v>20</v>
      </c>
      <c r="H2" s="35" t="s">
        <v>22</v>
      </c>
      <c r="I2" s="35" t="s">
        <v>25</v>
      </c>
      <c r="J2" s="35" t="s">
        <v>27</v>
      </c>
      <c r="K2" s="35" t="s">
        <v>29</v>
      </c>
      <c r="L2" s="35" t="s">
        <v>32</v>
      </c>
      <c r="M2" s="35" t="s">
        <v>35</v>
      </c>
      <c r="N2" s="35" t="s">
        <v>38</v>
      </c>
      <c r="O2" s="35" t="s">
        <v>41</v>
      </c>
      <c r="P2" s="35" t="s">
        <v>44</v>
      </c>
      <c r="Q2" s="35" t="s">
        <v>46</v>
      </c>
      <c r="R2" s="35" t="s">
        <v>49</v>
      </c>
      <c r="S2" s="36" t="s">
        <v>51</v>
      </c>
      <c r="T2" s="36" t="s">
        <v>55</v>
      </c>
      <c r="U2" s="36" t="s">
        <v>57</v>
      </c>
      <c r="V2" s="37" t="s">
        <v>59</v>
      </c>
      <c r="W2" s="37" t="s">
        <v>63</v>
      </c>
      <c r="X2" s="37" t="s">
        <v>65</v>
      </c>
      <c r="Y2" s="37" t="s">
        <v>67</v>
      </c>
    </row>
    <row r="3" spans="1:25" ht="15" customHeight="1" x14ac:dyDescent="0.25">
      <c r="A3" s="38" t="s">
        <v>74</v>
      </c>
      <c r="B3" s="39" t="s">
        <v>75</v>
      </c>
      <c r="C3" s="40">
        <v>14</v>
      </c>
      <c r="D3" s="41"/>
      <c r="E3" s="41"/>
      <c r="F3" s="33">
        <v>4.4400000000000002E-2</v>
      </c>
      <c r="G3" s="34">
        <v>7.9699999999999993E-2</v>
      </c>
      <c r="H3" s="41"/>
      <c r="I3" s="31">
        <v>2.3E-2</v>
      </c>
      <c r="J3" s="41"/>
      <c r="K3" s="31">
        <v>1.5900000000000001E-2</v>
      </c>
      <c r="L3" s="31">
        <v>1.26E-2</v>
      </c>
      <c r="M3" s="41"/>
      <c r="N3" s="34">
        <v>9.98E-2</v>
      </c>
      <c r="O3" s="41"/>
      <c r="P3" s="32">
        <v>6.7299999999999999E-2</v>
      </c>
      <c r="Q3" s="33">
        <v>4.0999999999999988E-2</v>
      </c>
      <c r="R3" s="31">
        <v>2.3599999999999999E-2</v>
      </c>
      <c r="S3" s="33">
        <v>4.3899999999999988E-2</v>
      </c>
      <c r="T3" s="33">
        <v>3.7199999999999997E-2</v>
      </c>
      <c r="U3" s="32">
        <v>5.4800000000000001E-2</v>
      </c>
      <c r="V3" s="41"/>
      <c r="W3" s="41"/>
      <c r="X3" s="34">
        <v>8.0299999999999996E-2</v>
      </c>
      <c r="Y3" s="31">
        <v>1.2500000000000001E-2</v>
      </c>
    </row>
    <row r="4" spans="1:25" ht="15" customHeight="1" x14ac:dyDescent="0.25">
      <c r="A4" s="42" t="s">
        <v>76</v>
      </c>
      <c r="B4" s="43" t="s">
        <v>77</v>
      </c>
      <c r="C4" s="44">
        <v>13</v>
      </c>
      <c r="D4" s="45"/>
      <c r="E4" s="46">
        <v>0.14419999999999999</v>
      </c>
      <c r="F4" s="32">
        <v>6.4000000000000001E-2</v>
      </c>
      <c r="G4" s="34">
        <v>9.9000000000000005E-2</v>
      </c>
      <c r="H4" s="31">
        <v>2.46E-2</v>
      </c>
      <c r="I4" s="34">
        <v>9.5199999999999993E-2</v>
      </c>
      <c r="J4" s="45"/>
      <c r="K4" s="31">
        <v>1.8100000000000002E-2</v>
      </c>
      <c r="L4" s="45"/>
      <c r="M4" s="45"/>
      <c r="N4" s="32">
        <v>6.8699999999999997E-2</v>
      </c>
      <c r="O4" s="45"/>
      <c r="P4" s="32">
        <v>6.5199999999999994E-2</v>
      </c>
      <c r="Q4" s="34">
        <v>8.7100000000000011E-2</v>
      </c>
      <c r="R4" s="34">
        <v>7.2700000000000001E-2</v>
      </c>
      <c r="S4" s="33">
        <v>4.1700000000000001E-2</v>
      </c>
      <c r="T4" s="45"/>
      <c r="U4" s="32">
        <v>5.4399999999999997E-2</v>
      </c>
      <c r="V4" s="45"/>
      <c r="W4" s="45"/>
      <c r="X4" s="34">
        <v>8.8100000000000012E-2</v>
      </c>
      <c r="Y4" s="45"/>
    </row>
    <row r="5" spans="1:25" ht="15" customHeight="1" x14ac:dyDescent="0.25">
      <c r="A5" s="38" t="s">
        <v>78</v>
      </c>
      <c r="B5" s="39" t="s">
        <v>79</v>
      </c>
      <c r="C5" s="40">
        <v>12</v>
      </c>
      <c r="D5" s="41"/>
      <c r="E5" s="41"/>
      <c r="F5" s="41"/>
      <c r="G5" s="46">
        <v>0.13039999999999999</v>
      </c>
      <c r="H5" s="41"/>
      <c r="I5" s="41"/>
      <c r="J5" s="32">
        <v>5.7599999999999998E-2</v>
      </c>
      <c r="K5" s="33">
        <v>3.7900000000000003E-2</v>
      </c>
      <c r="L5" s="41"/>
      <c r="M5" s="41"/>
      <c r="N5" s="32">
        <v>5.28E-2</v>
      </c>
      <c r="O5" s="41"/>
      <c r="P5" s="34">
        <v>8.3400000000000002E-2</v>
      </c>
      <c r="Q5" s="34">
        <v>9.0200000000000002E-2</v>
      </c>
      <c r="R5" s="34">
        <v>7.980000000000001E-2</v>
      </c>
      <c r="S5" s="32">
        <v>5.8299999999999998E-2</v>
      </c>
      <c r="T5" s="32">
        <v>6.0499999999999998E-2</v>
      </c>
      <c r="U5" s="32">
        <v>6.4199999999999993E-2</v>
      </c>
      <c r="V5" s="41"/>
      <c r="W5" s="41"/>
      <c r="X5" s="34">
        <v>9.2399999999999996E-2</v>
      </c>
      <c r="Y5" s="33">
        <v>4.8099999999999997E-2</v>
      </c>
    </row>
    <row r="6" spans="1:25" ht="15" customHeight="1" x14ac:dyDescent="0.25">
      <c r="A6" s="42" t="s">
        <v>80</v>
      </c>
      <c r="B6" s="43" t="s">
        <v>81</v>
      </c>
      <c r="C6" s="44">
        <v>11</v>
      </c>
      <c r="D6" s="45"/>
      <c r="E6" s="45"/>
      <c r="F6" s="33">
        <v>3.7900000000000003E-2</v>
      </c>
      <c r="G6" s="45"/>
      <c r="H6" s="45"/>
      <c r="I6" s="45"/>
      <c r="J6" s="31">
        <v>2.29E-2</v>
      </c>
      <c r="K6" s="31">
        <v>1.21E-2</v>
      </c>
      <c r="L6" s="45"/>
      <c r="M6" s="33">
        <v>3.3799999999999997E-2</v>
      </c>
      <c r="N6" s="32">
        <v>5.1700000000000003E-2</v>
      </c>
      <c r="O6" s="33">
        <v>3.5400000000000001E-2</v>
      </c>
      <c r="P6" s="33">
        <v>4.9000000000000002E-2</v>
      </c>
      <c r="Q6" s="31">
        <v>2.7300000000000001E-2</v>
      </c>
      <c r="R6" s="33">
        <v>3.15E-2</v>
      </c>
      <c r="S6" s="33">
        <v>4.7100000000000003E-2</v>
      </c>
      <c r="T6" s="32">
        <v>5.3400000000000003E-2</v>
      </c>
      <c r="U6" s="45"/>
      <c r="V6" s="45"/>
      <c r="W6" s="45"/>
      <c r="X6" s="45"/>
      <c r="Y6" s="45"/>
    </row>
    <row r="7" spans="1:25" ht="15" customHeight="1" x14ac:dyDescent="0.25">
      <c r="A7" s="38" t="s">
        <v>82</v>
      </c>
      <c r="B7" s="39" t="s">
        <v>83</v>
      </c>
      <c r="C7" s="40">
        <v>11</v>
      </c>
      <c r="D7" s="41"/>
      <c r="E7" s="41"/>
      <c r="F7" s="33">
        <v>4.0199999999999993E-2</v>
      </c>
      <c r="G7" s="41"/>
      <c r="H7" s="41"/>
      <c r="I7" s="41"/>
      <c r="J7" s="33">
        <v>3.2899999999999999E-2</v>
      </c>
      <c r="K7" s="31">
        <v>1.38E-2</v>
      </c>
      <c r="L7" s="33">
        <v>3.5099999999999999E-2</v>
      </c>
      <c r="M7" s="31">
        <v>2.9600000000000001E-2</v>
      </c>
      <c r="N7" s="33">
        <v>3.3500000000000002E-2</v>
      </c>
      <c r="O7" s="31">
        <v>1.9699999999999999E-2</v>
      </c>
      <c r="P7" s="41"/>
      <c r="Q7" s="33">
        <v>4.4200000000000003E-2</v>
      </c>
      <c r="R7" s="31">
        <v>2.5499999999999998E-2</v>
      </c>
      <c r="S7" s="32">
        <v>5.96E-2</v>
      </c>
      <c r="T7" s="41"/>
      <c r="U7" s="41"/>
      <c r="V7" s="41"/>
      <c r="W7" s="41"/>
      <c r="X7" s="41"/>
      <c r="Y7" s="33">
        <v>4.99E-2</v>
      </c>
    </row>
    <row r="8" spans="1:25" ht="15" customHeight="1" x14ac:dyDescent="0.25">
      <c r="A8" s="42" t="s">
        <v>84</v>
      </c>
      <c r="B8" s="43" t="s">
        <v>85</v>
      </c>
      <c r="C8" s="44">
        <v>11</v>
      </c>
      <c r="D8" s="45"/>
      <c r="E8" s="33">
        <v>4.5699999999999998E-2</v>
      </c>
      <c r="F8" s="32">
        <v>6.1899999999999997E-2</v>
      </c>
      <c r="G8" s="45"/>
      <c r="H8" s="45"/>
      <c r="I8" s="33">
        <v>4.9000000000000002E-2</v>
      </c>
      <c r="J8" s="33">
        <v>3.3399999999999999E-2</v>
      </c>
      <c r="K8" s="31">
        <v>1.4E-2</v>
      </c>
      <c r="L8" s="45"/>
      <c r="M8" s="33">
        <v>4.36E-2</v>
      </c>
      <c r="N8" s="45"/>
      <c r="O8" s="31">
        <v>6.1000000000000004E-3</v>
      </c>
      <c r="P8" s="45"/>
      <c r="Q8" s="33">
        <v>3.4799999999999998E-2</v>
      </c>
      <c r="R8" s="31">
        <v>2.01E-2</v>
      </c>
      <c r="S8" s="33">
        <v>3.2199999999999999E-2</v>
      </c>
      <c r="T8" s="45"/>
      <c r="U8" s="45"/>
      <c r="V8" s="45"/>
      <c r="W8" s="45"/>
      <c r="X8" s="45"/>
      <c r="Y8" s="31">
        <v>1.37E-2</v>
      </c>
    </row>
    <row r="9" spans="1:25" ht="15" customHeight="1" x14ac:dyDescent="0.25">
      <c r="A9" s="38" t="s">
        <v>86</v>
      </c>
      <c r="B9" s="39" t="s">
        <v>87</v>
      </c>
      <c r="C9" s="40">
        <v>10</v>
      </c>
      <c r="D9" s="41"/>
      <c r="E9" s="41"/>
      <c r="F9" s="46">
        <v>0.15659999999999999</v>
      </c>
      <c r="G9" s="41"/>
      <c r="H9" s="41"/>
      <c r="I9" s="31">
        <v>1.5699999999999999E-2</v>
      </c>
      <c r="J9" s="32">
        <v>6.13E-2</v>
      </c>
      <c r="K9" s="33">
        <v>3.2400000000000012E-2</v>
      </c>
      <c r="L9" s="33">
        <v>4.4299999999999999E-2</v>
      </c>
      <c r="M9" s="41"/>
      <c r="N9" s="41"/>
      <c r="O9" s="31">
        <v>1.9099999999999999E-2</v>
      </c>
      <c r="P9" s="41"/>
      <c r="Q9" s="32">
        <v>6.2899999999999998E-2</v>
      </c>
      <c r="R9" s="31">
        <v>2.0400000000000001E-2</v>
      </c>
      <c r="S9" s="33">
        <v>3.8600000000000002E-2</v>
      </c>
      <c r="T9" s="31">
        <v>2.92E-2</v>
      </c>
      <c r="U9" s="41"/>
      <c r="V9" s="41"/>
      <c r="W9" s="41"/>
      <c r="X9" s="41"/>
      <c r="Y9" s="41"/>
    </row>
    <row r="10" spans="1:25" ht="15" customHeight="1" x14ac:dyDescent="0.25">
      <c r="A10" s="42" t="s">
        <v>88</v>
      </c>
      <c r="B10" s="43" t="s">
        <v>89</v>
      </c>
      <c r="C10" s="44">
        <v>10</v>
      </c>
      <c r="D10" s="45"/>
      <c r="E10" s="45"/>
      <c r="F10" s="32">
        <v>5.74E-2</v>
      </c>
      <c r="G10" s="32">
        <v>6.2800000000000009E-2</v>
      </c>
      <c r="H10" s="45"/>
      <c r="I10" s="45"/>
      <c r="J10" s="45"/>
      <c r="K10" s="45"/>
      <c r="L10" s="45"/>
      <c r="M10" s="33">
        <v>3.2899999999999999E-2</v>
      </c>
      <c r="N10" s="45"/>
      <c r="O10" s="45"/>
      <c r="P10" s="33">
        <v>4.4999999999999998E-2</v>
      </c>
      <c r="Q10" s="33">
        <v>4.3400000000000001E-2</v>
      </c>
      <c r="R10" s="31">
        <v>1.8499999999999999E-2</v>
      </c>
      <c r="S10" s="45"/>
      <c r="T10" s="45"/>
      <c r="U10" s="32">
        <v>6.3200000000000006E-2</v>
      </c>
      <c r="V10" s="45"/>
      <c r="W10" s="31">
        <v>1.21E-2</v>
      </c>
      <c r="X10" s="32">
        <v>5.6399999999999999E-2</v>
      </c>
      <c r="Y10" s="31">
        <v>2.3E-2</v>
      </c>
    </row>
    <row r="11" spans="1:25" ht="15" customHeight="1" x14ac:dyDescent="0.25">
      <c r="A11" s="38" t="s">
        <v>90</v>
      </c>
      <c r="B11" s="39" t="s">
        <v>91</v>
      </c>
      <c r="C11" s="40">
        <v>9</v>
      </c>
      <c r="D11" s="41"/>
      <c r="E11" s="41"/>
      <c r="F11" s="33">
        <v>4.0800000000000003E-2</v>
      </c>
      <c r="G11" s="41"/>
      <c r="H11" s="41"/>
      <c r="I11" s="33">
        <v>4.3700000000000003E-2</v>
      </c>
      <c r="J11" s="32">
        <v>6.2199999999999998E-2</v>
      </c>
      <c r="K11" s="41"/>
      <c r="L11" s="32">
        <v>6.3299999999999995E-2</v>
      </c>
      <c r="M11" s="41"/>
      <c r="N11" s="41"/>
      <c r="O11" s="32">
        <v>5.16E-2</v>
      </c>
      <c r="P11" s="41"/>
      <c r="Q11" s="33">
        <v>4.6699999999999998E-2</v>
      </c>
      <c r="R11" s="41"/>
      <c r="S11" s="33">
        <v>4.9500000000000002E-2</v>
      </c>
      <c r="T11" s="31">
        <v>2.2800000000000001E-2</v>
      </c>
      <c r="U11" s="41"/>
      <c r="V11" s="41"/>
      <c r="W11" s="41"/>
      <c r="X11" s="41"/>
      <c r="Y11" s="32">
        <v>6.88E-2</v>
      </c>
    </row>
    <row r="12" spans="1:25" ht="15" customHeight="1" x14ac:dyDescent="0.25">
      <c r="A12" s="42" t="s">
        <v>92</v>
      </c>
      <c r="B12" s="43" t="s">
        <v>93</v>
      </c>
      <c r="C12" s="44">
        <v>9</v>
      </c>
      <c r="D12" s="45"/>
      <c r="E12" s="45"/>
      <c r="F12" s="33">
        <v>4.7300000000000002E-2</v>
      </c>
      <c r="G12" s="33">
        <v>4.6399999999999997E-2</v>
      </c>
      <c r="H12" s="45"/>
      <c r="I12" s="45"/>
      <c r="J12" s="31">
        <v>2.6200000000000001E-2</v>
      </c>
      <c r="K12" s="31">
        <v>1.67E-2</v>
      </c>
      <c r="L12" s="45"/>
      <c r="M12" s="45"/>
      <c r="N12" s="33">
        <v>3.6400000000000002E-2</v>
      </c>
      <c r="O12" s="45"/>
      <c r="P12" s="31">
        <v>2.3E-2</v>
      </c>
      <c r="Q12" s="33">
        <v>3.8399999999999997E-2</v>
      </c>
      <c r="R12" s="45"/>
      <c r="S12" s="45"/>
      <c r="T12" s="45"/>
      <c r="U12" s="33">
        <v>3.61E-2</v>
      </c>
      <c r="V12" s="45"/>
      <c r="W12" s="45"/>
      <c r="X12" s="31">
        <v>2.8000000000000001E-2</v>
      </c>
      <c r="Y12" s="45"/>
    </row>
    <row r="13" spans="1:25" ht="15" customHeight="1" x14ac:dyDescent="0.25">
      <c r="A13" s="38" t="s">
        <v>94</v>
      </c>
      <c r="B13" s="39" t="s">
        <v>95</v>
      </c>
      <c r="C13" s="40">
        <v>8</v>
      </c>
      <c r="D13" s="41"/>
      <c r="E13" s="41"/>
      <c r="F13" s="41"/>
      <c r="G13" s="32">
        <v>5.3099999999999987E-2</v>
      </c>
      <c r="H13" s="31">
        <v>2.8899999999999999E-2</v>
      </c>
      <c r="I13" s="31">
        <v>2.75E-2</v>
      </c>
      <c r="J13" s="41"/>
      <c r="K13" s="41"/>
      <c r="L13" s="41"/>
      <c r="M13" s="41"/>
      <c r="N13" s="33">
        <v>3.9800000000000002E-2</v>
      </c>
      <c r="O13" s="41"/>
      <c r="P13" s="32">
        <v>5.0299999999999997E-2</v>
      </c>
      <c r="Q13" s="41"/>
      <c r="R13" s="41"/>
      <c r="S13" s="41"/>
      <c r="T13" s="41"/>
      <c r="U13" s="33">
        <v>3.7000000000000012E-2</v>
      </c>
      <c r="V13" s="41"/>
      <c r="W13" s="41"/>
      <c r="X13" s="33">
        <v>4.6500000000000007E-2</v>
      </c>
      <c r="Y13" s="32">
        <v>6.8099999999999994E-2</v>
      </c>
    </row>
    <row r="14" spans="1:25" ht="15" customHeight="1" x14ac:dyDescent="0.25">
      <c r="A14" s="42" t="s">
        <v>96</v>
      </c>
      <c r="B14" s="43" t="s">
        <v>97</v>
      </c>
      <c r="C14" s="44">
        <v>8</v>
      </c>
      <c r="D14" s="45"/>
      <c r="E14" s="45"/>
      <c r="F14" s="45"/>
      <c r="G14" s="45"/>
      <c r="H14" s="45"/>
      <c r="I14" s="45"/>
      <c r="J14" s="31">
        <v>2.1299999999999999E-2</v>
      </c>
      <c r="K14" s="31">
        <v>1.72E-2</v>
      </c>
      <c r="L14" s="46">
        <v>0.1125</v>
      </c>
      <c r="M14" s="33">
        <v>4.9599999999999998E-2</v>
      </c>
      <c r="N14" s="45"/>
      <c r="O14" s="45"/>
      <c r="P14" s="45"/>
      <c r="Q14" s="33">
        <v>4.4499999999999998E-2</v>
      </c>
      <c r="R14" s="45"/>
      <c r="S14" s="33">
        <v>3.6400000000000002E-2</v>
      </c>
      <c r="T14" s="31">
        <v>2.8000000000000001E-2</v>
      </c>
      <c r="U14" s="45"/>
      <c r="V14" s="45"/>
      <c r="W14" s="45"/>
      <c r="X14" s="45"/>
      <c r="Y14" s="31">
        <v>1.4200000000000001E-2</v>
      </c>
    </row>
    <row r="15" spans="1:25" ht="15" customHeight="1" x14ac:dyDescent="0.25">
      <c r="A15" s="38" t="s">
        <v>98</v>
      </c>
      <c r="B15" s="39" t="s">
        <v>99</v>
      </c>
      <c r="C15" s="40">
        <v>7</v>
      </c>
      <c r="D15" s="41"/>
      <c r="E15" s="41"/>
      <c r="F15" s="41"/>
      <c r="G15" s="41"/>
      <c r="H15" s="41"/>
      <c r="I15" s="41"/>
      <c r="J15" s="33">
        <v>3.7699999999999997E-2</v>
      </c>
      <c r="K15" s="41"/>
      <c r="L15" s="46">
        <v>0.17130000000000001</v>
      </c>
      <c r="M15" s="41"/>
      <c r="N15" s="32">
        <v>6.9099999999999995E-2</v>
      </c>
      <c r="O15" s="31">
        <v>2.0799999999999999E-2</v>
      </c>
      <c r="P15" s="41"/>
      <c r="Q15" s="33">
        <v>4.1500000000000002E-2</v>
      </c>
      <c r="R15" s="41"/>
      <c r="S15" s="31">
        <v>2.01E-2</v>
      </c>
      <c r="T15" s="41"/>
      <c r="U15" s="41"/>
      <c r="V15" s="41"/>
      <c r="W15" s="41"/>
      <c r="X15" s="41"/>
      <c r="Y15" s="31">
        <v>1.8700000000000001E-2</v>
      </c>
    </row>
    <row r="16" spans="1:25" ht="15" customHeight="1" x14ac:dyDescent="0.25">
      <c r="A16" s="42" t="s">
        <v>100</v>
      </c>
      <c r="B16" s="43" t="s">
        <v>101</v>
      </c>
      <c r="C16" s="44">
        <v>6</v>
      </c>
      <c r="D16" s="45"/>
      <c r="E16" s="45"/>
      <c r="F16" s="46">
        <v>0.16900000000000001</v>
      </c>
      <c r="G16" s="45"/>
      <c r="H16" s="45"/>
      <c r="I16" s="45"/>
      <c r="J16" s="45"/>
      <c r="K16" s="45"/>
      <c r="L16" s="45"/>
      <c r="M16" s="45"/>
      <c r="N16" s="33">
        <v>3.3500000000000002E-2</v>
      </c>
      <c r="O16" s="45"/>
      <c r="P16" s="34">
        <v>7.9399999999999998E-2</v>
      </c>
      <c r="Q16" s="33">
        <v>4.2000000000000003E-2</v>
      </c>
      <c r="R16" s="33">
        <v>3.09E-2</v>
      </c>
      <c r="S16" s="45"/>
      <c r="T16" s="45"/>
      <c r="U16" s="45"/>
      <c r="V16" s="45"/>
      <c r="W16" s="45"/>
      <c r="X16" s="45"/>
      <c r="Y16" s="31">
        <v>1.7500000000000002E-2</v>
      </c>
    </row>
    <row r="17" spans="1:25" ht="15" customHeight="1" x14ac:dyDescent="0.25">
      <c r="A17" s="38" t="s">
        <v>102</v>
      </c>
      <c r="B17" s="39" t="s">
        <v>103</v>
      </c>
      <c r="C17" s="40">
        <v>6</v>
      </c>
      <c r="D17" s="41"/>
      <c r="E17" s="41"/>
      <c r="F17" s="41"/>
      <c r="G17" s="41"/>
      <c r="H17" s="41"/>
      <c r="I17" s="41"/>
      <c r="J17" s="33">
        <v>3.1199999999999999E-2</v>
      </c>
      <c r="K17" s="41"/>
      <c r="L17" s="46">
        <v>0.129</v>
      </c>
      <c r="M17" s="41"/>
      <c r="N17" s="41"/>
      <c r="O17" s="33">
        <v>3.7199999999999997E-2</v>
      </c>
      <c r="P17" s="41"/>
      <c r="Q17" s="33">
        <v>4.5599999999999988E-2</v>
      </c>
      <c r="R17" s="32">
        <v>6.7400000000000002E-2</v>
      </c>
      <c r="S17" s="32">
        <v>5.5199999999999999E-2</v>
      </c>
      <c r="T17" s="41"/>
      <c r="U17" s="41"/>
      <c r="V17" s="41"/>
      <c r="W17" s="41"/>
      <c r="X17" s="41"/>
      <c r="Y17" s="41"/>
    </row>
    <row r="18" spans="1:25" ht="15" customHeight="1" x14ac:dyDescent="0.25">
      <c r="A18" s="42" t="s">
        <v>104</v>
      </c>
      <c r="B18" s="43" t="s">
        <v>105</v>
      </c>
      <c r="C18" s="44">
        <v>6</v>
      </c>
      <c r="D18" s="45"/>
      <c r="E18" s="45"/>
      <c r="F18" s="45"/>
      <c r="G18" s="31">
        <v>2.5399999999999999E-2</v>
      </c>
      <c r="H18" s="45"/>
      <c r="I18" s="45"/>
      <c r="J18" s="45"/>
      <c r="K18" s="45"/>
      <c r="L18" s="45"/>
      <c r="M18" s="45"/>
      <c r="N18" s="31">
        <v>2.0899999999999998E-2</v>
      </c>
      <c r="O18" s="45"/>
      <c r="P18" s="45"/>
      <c r="Q18" s="45"/>
      <c r="R18" s="31">
        <v>2.5499999999999998E-2</v>
      </c>
      <c r="S18" s="45"/>
      <c r="T18" s="45"/>
      <c r="U18" s="33">
        <v>4.1799999999999997E-2</v>
      </c>
      <c r="V18" s="45"/>
      <c r="W18" s="45"/>
      <c r="X18" s="33">
        <v>3.2500000000000001E-2</v>
      </c>
      <c r="Y18" s="33">
        <v>3.4200000000000001E-2</v>
      </c>
    </row>
    <row r="19" spans="1:25" ht="15" customHeight="1" x14ac:dyDescent="0.25">
      <c r="A19" s="38" t="s">
        <v>106</v>
      </c>
      <c r="B19" s="39" t="s">
        <v>107</v>
      </c>
      <c r="C19" s="40">
        <v>5</v>
      </c>
      <c r="D19" s="41"/>
      <c r="E19" s="32">
        <v>5.8099999999999999E-2</v>
      </c>
      <c r="F19" s="41"/>
      <c r="G19" s="41"/>
      <c r="H19" s="41"/>
      <c r="I19" s="32">
        <v>6.2199999999999998E-2</v>
      </c>
      <c r="J19" s="33">
        <v>0.03</v>
      </c>
      <c r="K19" s="41"/>
      <c r="L19" s="41"/>
      <c r="M19" s="41"/>
      <c r="N19" s="41"/>
      <c r="O19" s="41"/>
      <c r="P19" s="41"/>
      <c r="Q19" s="41"/>
      <c r="R19" s="41"/>
      <c r="S19" s="32">
        <v>5.1200000000000002E-2</v>
      </c>
      <c r="T19" s="33">
        <v>4.6399999999999997E-2</v>
      </c>
      <c r="U19" s="41"/>
      <c r="V19" s="41"/>
      <c r="W19" s="41"/>
      <c r="X19" s="41"/>
      <c r="Y19" s="41"/>
    </row>
    <row r="20" spans="1:25" ht="15" customHeight="1" x14ac:dyDescent="0.25">
      <c r="A20" s="42" t="s">
        <v>108</v>
      </c>
      <c r="B20" s="43" t="s">
        <v>109</v>
      </c>
      <c r="C20" s="44">
        <v>5</v>
      </c>
      <c r="D20" s="45"/>
      <c r="E20" s="45"/>
      <c r="F20" s="33">
        <v>4.24E-2</v>
      </c>
      <c r="G20" s="32">
        <v>5.6099999999999997E-2</v>
      </c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33">
        <v>3.8300000000000001E-2</v>
      </c>
      <c r="S20" s="45"/>
      <c r="T20" s="45"/>
      <c r="U20" s="33">
        <v>4.7399999999999998E-2</v>
      </c>
      <c r="V20" s="45"/>
      <c r="W20" s="45"/>
      <c r="X20" s="33">
        <v>3.7499999999999999E-2</v>
      </c>
      <c r="Y20" s="45"/>
    </row>
    <row r="21" spans="1:25" ht="15" customHeight="1" x14ac:dyDescent="0.25">
      <c r="A21" s="38" t="s">
        <v>110</v>
      </c>
      <c r="B21" s="39" t="s">
        <v>111</v>
      </c>
      <c r="C21" s="40">
        <v>5</v>
      </c>
      <c r="D21" s="41"/>
      <c r="E21" s="41"/>
      <c r="F21" s="33">
        <v>4.6300000000000001E-2</v>
      </c>
      <c r="G21" s="41"/>
      <c r="H21" s="41"/>
      <c r="I21" s="41"/>
      <c r="J21" s="31">
        <v>2.3699999999999999E-2</v>
      </c>
      <c r="K21" s="41"/>
      <c r="L21" s="41"/>
      <c r="M21" s="41"/>
      <c r="N21" s="31">
        <v>2.41E-2</v>
      </c>
      <c r="O21" s="41"/>
      <c r="P21" s="41"/>
      <c r="Q21" s="41"/>
      <c r="R21" s="31">
        <v>1.8800000000000001E-2</v>
      </c>
      <c r="S21" s="33">
        <v>4.0899999999999999E-2</v>
      </c>
      <c r="T21" s="41"/>
      <c r="U21" s="41"/>
      <c r="V21" s="41"/>
      <c r="W21" s="41"/>
      <c r="X21" s="41"/>
      <c r="Y21" s="41"/>
    </row>
    <row r="22" spans="1:25" ht="15" customHeight="1" x14ac:dyDescent="0.25">
      <c r="A22" s="42" t="s">
        <v>112</v>
      </c>
      <c r="B22" s="43" t="s">
        <v>113</v>
      </c>
      <c r="C22" s="44">
        <v>4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34">
        <v>7.5800000000000006E-2</v>
      </c>
      <c r="W22" s="32">
        <v>6.6199999999999995E-2</v>
      </c>
      <c r="X22" s="31">
        <v>2.7900000000000001E-2</v>
      </c>
      <c r="Y22" s="33">
        <v>3.6200000000000003E-2</v>
      </c>
    </row>
    <row r="23" spans="1:25" ht="15" customHeight="1" x14ac:dyDescent="0.25">
      <c r="A23" s="38" t="s">
        <v>114</v>
      </c>
      <c r="B23" s="39" t="s">
        <v>115</v>
      </c>
      <c r="C23" s="40">
        <v>4</v>
      </c>
      <c r="D23" s="41"/>
      <c r="E23" s="41"/>
      <c r="F23" s="41"/>
      <c r="G23" s="41"/>
      <c r="H23" s="41"/>
      <c r="I23" s="41"/>
      <c r="J23" s="33">
        <v>3.8899999999999997E-2</v>
      </c>
      <c r="K23" s="41"/>
      <c r="L23" s="34">
        <v>9.7299999999999998E-2</v>
      </c>
      <c r="M23" s="41"/>
      <c r="N23" s="41"/>
      <c r="O23" s="31">
        <v>2.0400000000000001E-2</v>
      </c>
      <c r="P23" s="41"/>
      <c r="Q23" s="41"/>
      <c r="R23" s="41"/>
      <c r="S23" s="41"/>
      <c r="T23" s="41"/>
      <c r="U23" s="41"/>
      <c r="V23" s="41"/>
      <c r="W23" s="41"/>
      <c r="X23" s="41"/>
      <c r="Y23" s="31">
        <v>1.4200000000000001E-2</v>
      </c>
    </row>
    <row r="24" spans="1:25" ht="15" customHeight="1" x14ac:dyDescent="0.25">
      <c r="A24" s="42" t="s">
        <v>116</v>
      </c>
      <c r="B24" s="43" t="s">
        <v>117</v>
      </c>
      <c r="C24" s="44">
        <v>4</v>
      </c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33">
        <v>3.7699999999999997E-2</v>
      </c>
      <c r="W24" s="31">
        <v>2.12E-2</v>
      </c>
      <c r="X24" s="33">
        <v>3.78E-2</v>
      </c>
      <c r="Y24" s="31">
        <v>1.1900000000000001E-2</v>
      </c>
    </row>
    <row r="25" spans="1:25" ht="15" customHeight="1" x14ac:dyDescent="0.25">
      <c r="A25" s="38" t="s">
        <v>118</v>
      </c>
      <c r="B25" s="39" t="s">
        <v>119</v>
      </c>
      <c r="C25" s="40">
        <v>3</v>
      </c>
      <c r="D25" s="41"/>
      <c r="E25" s="41"/>
      <c r="F25" s="41"/>
      <c r="G25" s="41"/>
      <c r="H25" s="41"/>
      <c r="I25" s="41"/>
      <c r="J25" s="41"/>
      <c r="K25" s="41"/>
      <c r="L25" s="34">
        <v>7.1399999999999991E-2</v>
      </c>
      <c r="M25" s="41"/>
      <c r="N25" s="41"/>
      <c r="O25" s="41"/>
      <c r="P25" s="33">
        <v>4.7600000000000003E-2</v>
      </c>
      <c r="Q25" s="41"/>
      <c r="R25" s="41"/>
      <c r="S25" s="41"/>
      <c r="T25" s="41"/>
      <c r="U25" s="41"/>
      <c r="V25" s="41"/>
      <c r="W25" s="41"/>
      <c r="X25" s="41"/>
      <c r="Y25" s="31">
        <v>2.6599999999999999E-2</v>
      </c>
    </row>
    <row r="26" spans="1:25" ht="15" customHeight="1" x14ac:dyDescent="0.25">
      <c r="A26" s="42" t="s">
        <v>120</v>
      </c>
      <c r="B26" s="43" t="s">
        <v>121</v>
      </c>
      <c r="C26" s="44">
        <v>3</v>
      </c>
      <c r="D26" s="45"/>
      <c r="E26" s="45"/>
      <c r="F26" s="45"/>
      <c r="G26" s="45"/>
      <c r="H26" s="34">
        <v>7.3899999999999993E-2</v>
      </c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31">
        <v>1.3899999999999999E-2</v>
      </c>
      <c r="W26" s="33">
        <v>4.1599999999999998E-2</v>
      </c>
      <c r="X26" s="45"/>
      <c r="Y26" s="45"/>
    </row>
    <row r="27" spans="1:25" ht="15" customHeight="1" x14ac:dyDescent="0.25">
      <c r="A27" s="38" t="s">
        <v>122</v>
      </c>
      <c r="B27" s="39" t="s">
        <v>123</v>
      </c>
      <c r="C27" s="40">
        <v>3</v>
      </c>
      <c r="D27" s="41"/>
      <c r="E27" s="41"/>
      <c r="F27" s="41"/>
      <c r="G27" s="41"/>
      <c r="H27" s="34">
        <v>7.7600000000000002E-2</v>
      </c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31">
        <v>1.9199999999999998E-2</v>
      </c>
      <c r="W27" s="33">
        <v>3.2000000000000001E-2</v>
      </c>
      <c r="X27" s="41"/>
      <c r="Y27" s="41"/>
    </row>
    <row r="28" spans="1:25" ht="15" customHeight="1" x14ac:dyDescent="0.25">
      <c r="A28" s="42" t="s">
        <v>124</v>
      </c>
      <c r="B28" s="43" t="s">
        <v>125</v>
      </c>
      <c r="C28" s="44">
        <v>3</v>
      </c>
      <c r="D28" s="45"/>
      <c r="E28" s="45"/>
      <c r="F28" s="45"/>
      <c r="G28" s="33">
        <v>3.44E-2</v>
      </c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33">
        <v>4.7699999999999992E-2</v>
      </c>
      <c r="V28" s="45"/>
      <c r="W28" s="45"/>
      <c r="X28" s="33">
        <v>3.3399999999999999E-2</v>
      </c>
      <c r="Y28" s="45"/>
    </row>
    <row r="29" spans="1:25" ht="15" customHeight="1" x14ac:dyDescent="0.25">
      <c r="A29" s="38" t="s">
        <v>126</v>
      </c>
      <c r="B29" s="39" t="s">
        <v>127</v>
      </c>
      <c r="C29" s="40">
        <v>3</v>
      </c>
      <c r="D29" s="41"/>
      <c r="E29" s="41"/>
      <c r="F29" s="31">
        <v>2.9899999999999999E-2</v>
      </c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32">
        <v>5.6300000000000003E-2</v>
      </c>
      <c r="Y29" s="31">
        <v>2.1600000000000001E-2</v>
      </c>
    </row>
    <row r="30" spans="1:25" ht="15" customHeight="1" x14ac:dyDescent="0.25">
      <c r="A30" s="42" t="s">
        <v>128</v>
      </c>
      <c r="B30" s="43" t="s">
        <v>129</v>
      </c>
      <c r="C30" s="44">
        <v>3</v>
      </c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31">
        <v>2.4799999999999999E-2</v>
      </c>
      <c r="W30" s="32">
        <v>5.9700000000000003E-2</v>
      </c>
      <c r="X30" s="31">
        <v>1.4500000000000001E-2</v>
      </c>
      <c r="Y30" s="45"/>
    </row>
    <row r="31" spans="1:25" ht="15" customHeight="1" x14ac:dyDescent="0.25">
      <c r="A31" s="38" t="s">
        <v>130</v>
      </c>
      <c r="B31" s="39" t="s">
        <v>131</v>
      </c>
      <c r="C31" s="40">
        <v>3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33">
        <v>4.5699999999999998E-2</v>
      </c>
      <c r="W31" s="41"/>
      <c r="X31" s="31">
        <v>1.4999999999999999E-2</v>
      </c>
      <c r="Y31" s="33">
        <v>3.4000000000000002E-2</v>
      </c>
    </row>
    <row r="32" spans="1:25" ht="15" customHeight="1" x14ac:dyDescent="0.25">
      <c r="A32" s="42" t="s">
        <v>132</v>
      </c>
      <c r="B32" s="43" t="s">
        <v>133</v>
      </c>
      <c r="C32" s="44">
        <v>3</v>
      </c>
      <c r="D32" s="45"/>
      <c r="E32" s="45"/>
      <c r="F32" s="45"/>
      <c r="G32" s="45"/>
      <c r="H32" s="32">
        <v>6.2399999999999997E-2</v>
      </c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31">
        <v>1.11E-2</v>
      </c>
      <c r="W32" s="45"/>
      <c r="X32" s="45"/>
      <c r="Y32" s="31">
        <v>1.77E-2</v>
      </c>
    </row>
    <row r="33" spans="1:25" ht="15" customHeight="1" x14ac:dyDescent="0.25">
      <c r="A33" s="38" t="s">
        <v>134</v>
      </c>
      <c r="B33" s="39" t="s">
        <v>135</v>
      </c>
      <c r="C33" s="40">
        <v>3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33">
        <v>3.2199999999999999E-2</v>
      </c>
      <c r="X33" s="31">
        <v>2.8799999999999999E-2</v>
      </c>
      <c r="Y33" s="31">
        <v>1.0200000000000001E-2</v>
      </c>
    </row>
    <row r="34" spans="1:25" ht="15" customHeight="1" x14ac:dyDescent="0.25">
      <c r="A34" s="42" t="s">
        <v>136</v>
      </c>
      <c r="B34" s="43" t="s">
        <v>137</v>
      </c>
      <c r="C34" s="44">
        <v>3</v>
      </c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33">
        <v>3.04E-2</v>
      </c>
      <c r="O34" s="45"/>
      <c r="P34" s="31">
        <v>2.1600000000000001E-2</v>
      </c>
      <c r="Q34" s="45"/>
      <c r="R34" s="45"/>
      <c r="S34" s="45"/>
      <c r="T34" s="45"/>
      <c r="U34" s="45"/>
      <c r="V34" s="45"/>
      <c r="W34" s="45"/>
      <c r="X34" s="45"/>
      <c r="Y34" s="31">
        <v>1.3899999999999999E-2</v>
      </c>
    </row>
    <row r="35" spans="1:25" ht="15" customHeight="1" x14ac:dyDescent="0.25">
      <c r="A35" s="38" t="s">
        <v>138</v>
      </c>
      <c r="B35" s="39" t="s">
        <v>139</v>
      </c>
      <c r="C35" s="40">
        <v>2</v>
      </c>
      <c r="D35" s="41"/>
      <c r="E35" s="46">
        <v>0.10580000000000001</v>
      </c>
      <c r="F35" s="41"/>
      <c r="G35" s="41"/>
      <c r="H35" s="41"/>
      <c r="I35" s="34">
        <v>9.2300000000000007E-2</v>
      </c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 spans="1:25" ht="15" customHeight="1" x14ac:dyDescent="0.25">
      <c r="A36" s="42" t="s">
        <v>140</v>
      </c>
      <c r="B36" s="43" t="s">
        <v>141</v>
      </c>
      <c r="C36" s="44">
        <v>2</v>
      </c>
      <c r="D36" s="45"/>
      <c r="E36" s="34">
        <v>9.0999999999999998E-2</v>
      </c>
      <c r="F36" s="45"/>
      <c r="G36" s="45"/>
      <c r="H36" s="45"/>
      <c r="I36" s="34">
        <v>7.7399999999999997E-2</v>
      </c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</row>
    <row r="37" spans="1:25" ht="15" customHeight="1" x14ac:dyDescent="0.25">
      <c r="A37" s="38" t="s">
        <v>142</v>
      </c>
      <c r="B37" s="39" t="s">
        <v>143</v>
      </c>
      <c r="C37" s="40">
        <v>2</v>
      </c>
      <c r="D37" s="41"/>
      <c r="E37" s="41"/>
      <c r="F37" s="41"/>
      <c r="G37" s="41"/>
      <c r="H37" s="41"/>
      <c r="I37" s="41"/>
      <c r="J37" s="41"/>
      <c r="K37" s="41"/>
      <c r="L37" s="41"/>
      <c r="M37" s="34">
        <v>8.4199999999999997E-2</v>
      </c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32">
        <v>5.9299999999999999E-2</v>
      </c>
    </row>
    <row r="38" spans="1:25" ht="15" customHeight="1" x14ac:dyDescent="0.25">
      <c r="A38" s="42" t="s">
        <v>144</v>
      </c>
      <c r="B38" s="43" t="s">
        <v>145</v>
      </c>
      <c r="C38" s="44">
        <v>2</v>
      </c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33">
        <v>4.5499999999999999E-2</v>
      </c>
      <c r="O38" s="45"/>
      <c r="P38" s="32">
        <v>6.480000000000001E-2</v>
      </c>
      <c r="Q38" s="45"/>
      <c r="R38" s="45"/>
      <c r="S38" s="45"/>
      <c r="T38" s="45"/>
      <c r="U38" s="45"/>
      <c r="V38" s="45"/>
      <c r="W38" s="45"/>
      <c r="X38" s="45"/>
      <c r="Y38" s="45"/>
    </row>
    <row r="39" spans="1:25" ht="15" customHeight="1" x14ac:dyDescent="0.25">
      <c r="A39" s="38" t="s">
        <v>146</v>
      </c>
      <c r="B39" s="39" t="s">
        <v>147</v>
      </c>
      <c r="C39" s="40">
        <v>2</v>
      </c>
      <c r="D39" s="41"/>
      <c r="E39" s="41"/>
      <c r="F39" s="41"/>
      <c r="G39" s="41"/>
      <c r="H39" s="41"/>
      <c r="I39" s="41"/>
      <c r="J39" s="41"/>
      <c r="K39" s="41"/>
      <c r="L39" s="41"/>
      <c r="M39" s="34">
        <v>8.5999999999999993E-2</v>
      </c>
      <c r="N39" s="41"/>
      <c r="O39" s="41"/>
      <c r="P39" s="41"/>
      <c r="Q39" s="41"/>
      <c r="R39" s="41"/>
      <c r="S39" s="41"/>
      <c r="T39" s="41"/>
      <c r="U39" s="41"/>
      <c r="V39" s="41"/>
      <c r="W39" s="31">
        <v>2.41E-2</v>
      </c>
      <c r="X39" s="41"/>
      <c r="Y39" s="41"/>
    </row>
    <row r="40" spans="1:25" ht="15" customHeight="1" x14ac:dyDescent="0.25">
      <c r="A40" s="42" t="s">
        <v>148</v>
      </c>
      <c r="B40" s="43" t="s">
        <v>149</v>
      </c>
      <c r="C40" s="44">
        <v>2</v>
      </c>
      <c r="D40" s="45"/>
      <c r="E40" s="32">
        <v>5.4199999999999998E-2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33">
        <v>3.8100000000000002E-2</v>
      </c>
      <c r="W40" s="45"/>
      <c r="X40" s="45"/>
      <c r="Y40" s="45"/>
    </row>
    <row r="41" spans="1:25" ht="15" customHeight="1" x14ac:dyDescent="0.25">
      <c r="A41" s="38" t="s">
        <v>150</v>
      </c>
      <c r="B41" s="39" t="s">
        <v>151</v>
      </c>
      <c r="C41" s="40">
        <v>2</v>
      </c>
      <c r="D41" s="41"/>
      <c r="E41" s="33">
        <v>4.1200000000000001E-2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33">
        <v>4.1799999999999997E-2</v>
      </c>
      <c r="X41" s="41"/>
      <c r="Y41" s="41"/>
    </row>
    <row r="42" spans="1:25" ht="15" customHeight="1" x14ac:dyDescent="0.25">
      <c r="A42" s="42" t="s">
        <v>152</v>
      </c>
      <c r="B42" s="43" t="s">
        <v>153</v>
      </c>
      <c r="C42" s="44">
        <v>2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33">
        <v>3.7499999999999999E-2</v>
      </c>
      <c r="W42" s="33">
        <v>4.2799999999999998E-2</v>
      </c>
      <c r="X42" s="45"/>
      <c r="Y42" s="45"/>
    </row>
    <row r="43" spans="1:25" ht="15" customHeight="1" x14ac:dyDescent="0.25">
      <c r="A43" s="38" t="s">
        <v>154</v>
      </c>
      <c r="B43" s="39" t="s">
        <v>155</v>
      </c>
      <c r="C43" s="40">
        <v>2</v>
      </c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33">
        <v>4.0599999999999997E-2</v>
      </c>
      <c r="X43" s="33">
        <v>3.2300000000000002E-2</v>
      </c>
      <c r="Y43" s="41"/>
    </row>
    <row r="44" spans="1:25" ht="15" customHeight="1" x14ac:dyDescent="0.25">
      <c r="A44" s="42" t="s">
        <v>156</v>
      </c>
      <c r="B44" s="43" t="s">
        <v>157</v>
      </c>
      <c r="C44" s="44">
        <v>2</v>
      </c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32">
        <v>5.4899999999999997E-2</v>
      </c>
      <c r="X44" s="45"/>
      <c r="Y44" s="31">
        <v>1.47E-2</v>
      </c>
    </row>
    <row r="45" spans="1:25" ht="15" customHeight="1" x14ac:dyDescent="0.25">
      <c r="A45" s="38" t="s">
        <v>158</v>
      </c>
      <c r="B45" s="39" t="s">
        <v>159</v>
      </c>
      <c r="C45" s="40">
        <v>2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32">
        <v>5.2600000000000001E-2</v>
      </c>
      <c r="X45" s="41"/>
      <c r="Y45" s="31">
        <v>7.8000000000000014E-3</v>
      </c>
    </row>
    <row r="46" spans="1:25" ht="15" customHeight="1" x14ac:dyDescent="0.25">
      <c r="A46" s="42" t="s">
        <v>160</v>
      </c>
      <c r="B46" s="43" t="s">
        <v>161</v>
      </c>
      <c r="C46" s="44">
        <v>2</v>
      </c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31">
        <v>2.5999999999999999E-2</v>
      </c>
      <c r="X46" s="33">
        <v>3.0099999999999998E-2</v>
      </c>
      <c r="Y46" s="45"/>
    </row>
    <row r="47" spans="1:25" ht="15" customHeight="1" x14ac:dyDescent="0.25">
      <c r="A47" s="38" t="s">
        <v>162</v>
      </c>
      <c r="B47" s="39" t="s">
        <v>163</v>
      </c>
      <c r="C47" s="40">
        <v>2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31">
        <v>2.1999999999999999E-2</v>
      </c>
      <c r="W47" s="33">
        <v>3.3099999999999997E-2</v>
      </c>
      <c r="X47" s="41"/>
      <c r="Y47" s="41"/>
    </row>
    <row r="48" spans="1:25" ht="15" customHeight="1" x14ac:dyDescent="0.25">
      <c r="A48" s="42" t="s">
        <v>164</v>
      </c>
      <c r="B48" s="43" t="s">
        <v>165</v>
      </c>
      <c r="C48" s="44">
        <v>2</v>
      </c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31">
        <v>1.4E-2</v>
      </c>
      <c r="X48" s="33">
        <v>4.0999999999999988E-2</v>
      </c>
      <c r="Y48" s="45"/>
    </row>
    <row r="49" spans="1:25" ht="15" customHeight="1" x14ac:dyDescent="0.25">
      <c r="A49" s="38" t="s">
        <v>166</v>
      </c>
      <c r="B49" s="39" t="s">
        <v>167</v>
      </c>
      <c r="C49" s="40">
        <v>2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33">
        <v>3.8699999999999998E-2</v>
      </c>
      <c r="W49" s="41"/>
      <c r="X49" s="41"/>
      <c r="Y49" s="31">
        <v>1.4500000000000001E-2</v>
      </c>
    </row>
    <row r="50" spans="1:25" ht="15" customHeight="1" x14ac:dyDescent="0.25">
      <c r="A50" s="42" t="s">
        <v>168</v>
      </c>
      <c r="B50" s="43" t="s">
        <v>169</v>
      </c>
      <c r="C50" s="44">
        <v>2</v>
      </c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33">
        <v>3.2000000000000001E-2</v>
      </c>
      <c r="W50" s="31">
        <v>2.0299999999999999E-2</v>
      </c>
      <c r="X50" s="45"/>
      <c r="Y50" s="45"/>
    </row>
    <row r="51" spans="1:25" ht="15" customHeight="1" x14ac:dyDescent="0.25">
      <c r="A51" s="38" t="s">
        <v>170</v>
      </c>
      <c r="B51" s="39" t="s">
        <v>171</v>
      </c>
      <c r="C51" s="40">
        <v>2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33">
        <v>3.4000000000000002E-2</v>
      </c>
      <c r="X51" s="41"/>
      <c r="Y51" s="31">
        <v>1.7999999999999999E-2</v>
      </c>
    </row>
    <row r="52" spans="1:25" ht="15" customHeight="1" x14ac:dyDescent="0.25">
      <c r="A52" s="42" t="s">
        <v>172</v>
      </c>
      <c r="B52" s="43" t="s">
        <v>173</v>
      </c>
      <c r="C52" s="44">
        <v>2</v>
      </c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31">
        <v>2.29E-2</v>
      </c>
      <c r="W52" s="45"/>
      <c r="X52" s="31">
        <v>2.0299999999999999E-2</v>
      </c>
      <c r="Y52" s="45"/>
    </row>
    <row r="53" spans="1:25" ht="15" customHeight="1" x14ac:dyDescent="0.25">
      <c r="A53" s="38" t="s">
        <v>174</v>
      </c>
      <c r="B53" s="39" t="s">
        <v>175</v>
      </c>
      <c r="C53" s="40">
        <v>2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31">
        <v>2.7400000000000001E-2</v>
      </c>
      <c r="W53" s="31">
        <v>1.2200000000000001E-2</v>
      </c>
      <c r="X53" s="41"/>
      <c r="Y53" s="41"/>
    </row>
    <row r="54" spans="1:25" ht="15" customHeight="1" x14ac:dyDescent="0.25">
      <c r="A54" s="42" t="s">
        <v>176</v>
      </c>
      <c r="B54" s="43" t="s">
        <v>177</v>
      </c>
      <c r="C54" s="44">
        <v>2</v>
      </c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31">
        <v>1.03E-2</v>
      </c>
      <c r="Y54" s="31">
        <v>2.76E-2</v>
      </c>
    </row>
    <row r="55" spans="1:25" ht="15" customHeight="1" x14ac:dyDescent="0.25">
      <c r="A55" s="38" t="s">
        <v>178</v>
      </c>
      <c r="B55" s="39" t="s">
        <v>179</v>
      </c>
      <c r="C55" s="40">
        <v>2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31">
        <v>1.3299999999999999E-2</v>
      </c>
      <c r="W55" s="31">
        <v>2.1700000000000001E-2</v>
      </c>
      <c r="X55" s="41"/>
      <c r="Y55" s="41"/>
    </row>
    <row r="56" spans="1:25" ht="15" customHeight="1" x14ac:dyDescent="0.25">
      <c r="A56" s="42" t="s">
        <v>180</v>
      </c>
      <c r="B56" s="43" t="s">
        <v>181</v>
      </c>
      <c r="C56" s="44">
        <v>2</v>
      </c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31">
        <v>2.1499999999999998E-2</v>
      </c>
      <c r="W56" s="31">
        <v>1.29E-2</v>
      </c>
      <c r="X56" s="45"/>
      <c r="Y56" s="45"/>
    </row>
    <row r="57" spans="1:25" ht="15" customHeight="1" x14ac:dyDescent="0.25">
      <c r="A57" s="38" t="s">
        <v>182</v>
      </c>
      <c r="B57" s="39" t="s">
        <v>183</v>
      </c>
      <c r="C57" s="40">
        <v>2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31">
        <v>1.9599999999999999E-2</v>
      </c>
      <c r="X57" s="41"/>
      <c r="Y57" s="31">
        <v>7.8000000000000014E-3</v>
      </c>
    </row>
    <row r="58" spans="1:25" ht="15" customHeight="1" x14ac:dyDescent="0.25">
      <c r="A58" s="42" t="s">
        <v>184</v>
      </c>
      <c r="B58" s="43" t="s">
        <v>185</v>
      </c>
      <c r="C58" s="44">
        <v>2</v>
      </c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31">
        <v>1.6199999999999999E-2</v>
      </c>
      <c r="W58" s="31">
        <v>1.0200000000000001E-2</v>
      </c>
      <c r="X58" s="45"/>
      <c r="Y58" s="45"/>
    </row>
    <row r="59" spans="1:25" ht="15" customHeight="1" x14ac:dyDescent="0.25">
      <c r="A59" s="38" t="s">
        <v>186</v>
      </c>
      <c r="B59" s="39" t="s">
        <v>187</v>
      </c>
      <c r="C59" s="40">
        <v>2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31">
        <v>1.4500000000000001E-2</v>
      </c>
      <c r="W59" s="31">
        <v>9.8999999999999991E-3</v>
      </c>
      <c r="X59" s="41"/>
      <c r="Y59" s="41"/>
    </row>
    <row r="60" spans="1:25" ht="15" customHeight="1" x14ac:dyDescent="0.25">
      <c r="A60" s="42" t="s">
        <v>188</v>
      </c>
      <c r="B60" s="43" t="s">
        <v>189</v>
      </c>
      <c r="C60" s="44">
        <v>1</v>
      </c>
      <c r="D60" s="46">
        <v>1</v>
      </c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</row>
    <row r="61" spans="1:25" ht="15" customHeight="1" x14ac:dyDescent="0.25">
      <c r="A61" s="38" t="s">
        <v>190</v>
      </c>
      <c r="B61" s="39" t="s">
        <v>191</v>
      </c>
      <c r="C61" s="40">
        <v>1</v>
      </c>
      <c r="D61" s="41"/>
      <c r="E61" s="46">
        <v>0.11070000000000001</v>
      </c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15" customHeight="1" x14ac:dyDescent="0.25">
      <c r="A62" s="42" t="s">
        <v>192</v>
      </c>
      <c r="B62" s="43" t="s">
        <v>193</v>
      </c>
      <c r="C62" s="44">
        <v>1</v>
      </c>
      <c r="D62" s="45"/>
      <c r="E62" s="46">
        <v>0.1095</v>
      </c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</row>
    <row r="63" spans="1:25" ht="15" customHeight="1" x14ac:dyDescent="0.25">
      <c r="A63" s="38" t="s">
        <v>194</v>
      </c>
      <c r="B63" s="39" t="s">
        <v>195</v>
      </c>
      <c r="C63" s="40">
        <v>1</v>
      </c>
      <c r="D63" s="41"/>
      <c r="E63" s="41"/>
      <c r="F63" s="41"/>
      <c r="G63" s="41"/>
      <c r="H63" s="41"/>
      <c r="I63" s="41"/>
      <c r="J63" s="41"/>
      <c r="K63" s="46">
        <v>0.10589999999999999</v>
      </c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15" customHeight="1" x14ac:dyDescent="0.25">
      <c r="A64" s="42" t="s">
        <v>196</v>
      </c>
      <c r="B64" s="43" t="s">
        <v>197</v>
      </c>
      <c r="C64" s="44">
        <v>1</v>
      </c>
      <c r="D64" s="45"/>
      <c r="E64" s="34">
        <v>9.4100000000000003E-2</v>
      </c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15" customHeight="1" x14ac:dyDescent="0.25">
      <c r="A65" s="38" t="s">
        <v>198</v>
      </c>
      <c r="B65" s="39" t="s">
        <v>199</v>
      </c>
      <c r="C65" s="40">
        <v>1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34">
        <v>8.7499999999999994E-2</v>
      </c>
      <c r="W65" s="41"/>
      <c r="X65" s="41"/>
      <c r="Y65" s="41"/>
    </row>
    <row r="66" spans="1:25" ht="15" customHeight="1" x14ac:dyDescent="0.25">
      <c r="A66" s="42" t="s">
        <v>200</v>
      </c>
      <c r="B66" s="43" t="s">
        <v>201</v>
      </c>
      <c r="C66" s="44">
        <v>1</v>
      </c>
      <c r="D66" s="45"/>
      <c r="E66" s="45"/>
      <c r="F66" s="45"/>
      <c r="G66" s="45"/>
      <c r="H66" s="34">
        <v>8.6899999999999991E-2</v>
      </c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</row>
    <row r="67" spans="1:25" ht="15" customHeight="1" x14ac:dyDescent="0.25">
      <c r="A67" s="38" t="s">
        <v>202</v>
      </c>
      <c r="B67" s="39" t="s">
        <v>203</v>
      </c>
      <c r="C67" s="40">
        <v>1</v>
      </c>
      <c r="D67" s="41"/>
      <c r="E67" s="41"/>
      <c r="F67" s="41"/>
      <c r="G67" s="41"/>
      <c r="H67" s="41"/>
      <c r="I67" s="41"/>
      <c r="J67" s="41"/>
      <c r="K67" s="41"/>
      <c r="L67" s="41"/>
      <c r="M67" s="34">
        <v>8.1699999999999995E-2</v>
      </c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15" customHeight="1" x14ac:dyDescent="0.25">
      <c r="A68" s="42" t="s">
        <v>204</v>
      </c>
      <c r="B68" s="43" t="s">
        <v>205</v>
      </c>
      <c r="C68" s="44">
        <v>1</v>
      </c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33">
        <v>4.6899999999999997E-2</v>
      </c>
    </row>
    <row r="69" spans="1:25" ht="15" customHeight="1" x14ac:dyDescent="0.25">
      <c r="A69" s="38" t="s">
        <v>206</v>
      </c>
      <c r="B69" s="39" t="s">
        <v>207</v>
      </c>
      <c r="C69" s="40">
        <v>1</v>
      </c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33">
        <v>4.3499999999999997E-2</v>
      </c>
      <c r="W69" s="41"/>
      <c r="X69" s="41"/>
      <c r="Y69" s="41"/>
    </row>
    <row r="70" spans="1:25" ht="15" customHeight="1" x14ac:dyDescent="0.25">
      <c r="A70" s="42" t="s">
        <v>208</v>
      </c>
      <c r="B70" s="43" t="s">
        <v>209</v>
      </c>
      <c r="C70" s="44">
        <v>1</v>
      </c>
      <c r="D70" s="45"/>
      <c r="E70" s="33">
        <v>3.9199999999999999E-2</v>
      </c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</row>
    <row r="71" spans="1:25" ht="15" customHeight="1" x14ac:dyDescent="0.25">
      <c r="A71" s="38" t="s">
        <v>210</v>
      </c>
      <c r="B71" s="39" t="s">
        <v>211</v>
      </c>
      <c r="C71" s="40">
        <v>1</v>
      </c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33">
        <v>3.7199999999999997E-2</v>
      </c>
      <c r="W71" s="41"/>
      <c r="X71" s="41"/>
      <c r="Y71" s="41"/>
    </row>
    <row r="72" spans="1:25" ht="15" customHeight="1" x14ac:dyDescent="0.25">
      <c r="A72" s="42" t="s">
        <v>212</v>
      </c>
      <c r="B72" s="43" t="s">
        <v>213</v>
      </c>
      <c r="C72" s="44">
        <v>1</v>
      </c>
      <c r="D72" s="45"/>
      <c r="E72" s="45"/>
      <c r="F72" s="33">
        <v>3.7000000000000012E-2</v>
      </c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</row>
    <row r="73" spans="1:25" ht="15" customHeight="1" x14ac:dyDescent="0.25">
      <c r="A73" s="38" t="s">
        <v>214</v>
      </c>
      <c r="B73" s="39" t="s">
        <v>215</v>
      </c>
      <c r="C73" s="40">
        <v>1</v>
      </c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33">
        <v>3.5499999999999997E-2</v>
      </c>
      <c r="W73" s="41"/>
      <c r="X73" s="41"/>
      <c r="Y73" s="41"/>
    </row>
    <row r="74" spans="1:25" ht="15" customHeight="1" x14ac:dyDescent="0.25">
      <c r="A74" s="42" t="s">
        <v>216</v>
      </c>
      <c r="B74" s="43" t="s">
        <v>217</v>
      </c>
      <c r="C74" s="44">
        <v>1</v>
      </c>
      <c r="D74" s="45"/>
      <c r="E74" s="33">
        <v>3.4799999999999998E-2</v>
      </c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15" customHeight="1" x14ac:dyDescent="0.25">
      <c r="A75" s="38" t="s">
        <v>218</v>
      </c>
      <c r="B75" s="39" t="s">
        <v>219</v>
      </c>
      <c r="C75" s="40">
        <v>1</v>
      </c>
      <c r="D75" s="41"/>
      <c r="E75" s="33">
        <v>3.4000000000000002E-2</v>
      </c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15" customHeight="1" x14ac:dyDescent="0.25">
      <c r="A76" s="42" t="s">
        <v>220</v>
      </c>
      <c r="B76" s="43" t="s">
        <v>221</v>
      </c>
      <c r="C76" s="44">
        <v>1</v>
      </c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31">
        <v>2.9700000000000001E-2</v>
      </c>
      <c r="W76" s="45"/>
      <c r="X76" s="45"/>
      <c r="Y76" s="45"/>
    </row>
    <row r="77" spans="1:25" ht="15" customHeight="1" x14ac:dyDescent="0.25">
      <c r="A77" s="38" t="s">
        <v>222</v>
      </c>
      <c r="B77" s="39" t="s">
        <v>223</v>
      </c>
      <c r="C77" s="40">
        <v>1</v>
      </c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31">
        <v>2.93E-2</v>
      </c>
      <c r="X77" s="41"/>
      <c r="Y77" s="41"/>
    </row>
    <row r="78" spans="1:25" ht="15" customHeight="1" x14ac:dyDescent="0.25">
      <c r="A78" s="42" t="s">
        <v>224</v>
      </c>
      <c r="B78" s="43" t="s">
        <v>225</v>
      </c>
      <c r="C78" s="44">
        <v>1</v>
      </c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31">
        <v>2.8400000000000002E-2</v>
      </c>
      <c r="X78" s="45"/>
      <c r="Y78" s="45"/>
    </row>
    <row r="79" spans="1:25" ht="15" customHeight="1" x14ac:dyDescent="0.25">
      <c r="A79" s="38" t="s">
        <v>226</v>
      </c>
      <c r="B79" s="39" t="s">
        <v>227</v>
      </c>
      <c r="C79" s="40">
        <v>1</v>
      </c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31">
        <v>2.69E-2</v>
      </c>
      <c r="X79" s="41"/>
      <c r="Y79" s="41"/>
    </row>
    <row r="80" spans="1:25" ht="15" customHeight="1" x14ac:dyDescent="0.25">
      <c r="A80" s="42" t="s">
        <v>228</v>
      </c>
      <c r="B80" s="43" t="s">
        <v>229</v>
      </c>
      <c r="C80" s="44">
        <v>1</v>
      </c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31">
        <v>2.3199999999999998E-2</v>
      </c>
    </row>
    <row r="81" spans="1:25" ht="15" customHeight="1" x14ac:dyDescent="0.25">
      <c r="A81" s="38" t="s">
        <v>230</v>
      </c>
      <c r="B81" s="39" t="s">
        <v>231</v>
      </c>
      <c r="C81" s="40">
        <v>1</v>
      </c>
      <c r="D81" s="41"/>
      <c r="E81" s="31">
        <v>2.23E-2</v>
      </c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15" customHeight="1" x14ac:dyDescent="0.25">
      <c r="A82" s="42" t="s">
        <v>232</v>
      </c>
      <c r="B82" s="43" t="s">
        <v>233</v>
      </c>
      <c r="C82" s="44">
        <v>1</v>
      </c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31">
        <v>2.23E-2</v>
      </c>
      <c r="W82" s="45"/>
      <c r="X82" s="45"/>
      <c r="Y82" s="45"/>
    </row>
    <row r="83" spans="1:25" ht="15" customHeight="1" x14ac:dyDescent="0.25">
      <c r="A83" s="38" t="s">
        <v>234</v>
      </c>
      <c r="B83" s="39" t="s">
        <v>235</v>
      </c>
      <c r="C83" s="40">
        <v>1</v>
      </c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31">
        <v>2.1899999999999999E-2</v>
      </c>
      <c r="X83" s="41"/>
      <c r="Y83" s="41"/>
    </row>
    <row r="84" spans="1:25" ht="15" customHeight="1" x14ac:dyDescent="0.25">
      <c r="A84" s="42" t="s">
        <v>236</v>
      </c>
      <c r="B84" s="43" t="s">
        <v>237</v>
      </c>
      <c r="C84" s="44">
        <v>1</v>
      </c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31">
        <v>2.0299999999999999E-2</v>
      </c>
      <c r="Y84" s="45"/>
    </row>
    <row r="85" spans="1:25" ht="15" customHeight="1" x14ac:dyDescent="0.25">
      <c r="A85" s="38" t="s">
        <v>238</v>
      </c>
      <c r="B85" s="39" t="s">
        <v>239</v>
      </c>
      <c r="C85" s="40">
        <v>1</v>
      </c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31">
        <v>0.02</v>
      </c>
      <c r="X85" s="41"/>
      <c r="Y85" s="41"/>
    </row>
    <row r="86" spans="1:25" ht="15" customHeight="1" x14ac:dyDescent="0.25">
      <c r="A86" s="42" t="s">
        <v>240</v>
      </c>
      <c r="B86" s="43" t="s">
        <v>241</v>
      </c>
      <c r="C86" s="44">
        <v>1</v>
      </c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31">
        <v>1.9300000000000001E-2</v>
      </c>
      <c r="X86" s="45"/>
      <c r="Y86" s="45"/>
    </row>
    <row r="87" spans="1:25" ht="15" customHeight="1" x14ac:dyDescent="0.25">
      <c r="A87" s="38" t="s">
        <v>242</v>
      </c>
      <c r="B87" s="39" t="s">
        <v>243</v>
      </c>
      <c r="C87" s="40">
        <v>1</v>
      </c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31">
        <v>1.6799999999999999E-2</v>
      </c>
      <c r="W87" s="41"/>
      <c r="X87" s="41"/>
      <c r="Y87" s="41"/>
    </row>
    <row r="88" spans="1:25" ht="15" customHeight="1" x14ac:dyDescent="0.25">
      <c r="A88" s="42" t="s">
        <v>244</v>
      </c>
      <c r="B88" s="43" t="s">
        <v>245</v>
      </c>
      <c r="C88" s="44">
        <v>1</v>
      </c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31">
        <v>1.6199999999999999E-2</v>
      </c>
      <c r="X88" s="45"/>
      <c r="Y88" s="45"/>
    </row>
    <row r="89" spans="1:25" ht="15" customHeight="1" x14ac:dyDescent="0.25">
      <c r="A89" s="38" t="s">
        <v>246</v>
      </c>
      <c r="B89" s="39" t="s">
        <v>247</v>
      </c>
      <c r="C89" s="40">
        <v>1</v>
      </c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31">
        <v>1.2800000000000001E-2</v>
      </c>
    </row>
  </sheetData>
  <autoFilter ref="A2:Y2"/>
  <mergeCells count="1">
    <mergeCell ref="A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10" style="30" customWidth="1"/>
    <col min="2" max="2" width="40" style="30" customWidth="1"/>
    <col min="3" max="3" width="18" style="30" customWidth="1"/>
    <col min="4" max="4" width="22" style="30" customWidth="1"/>
    <col min="5" max="5" width="14" style="30" customWidth="1"/>
  </cols>
  <sheetData>
    <row r="1" spans="1:10" ht="27.95" customHeight="1" x14ac:dyDescent="0.25">
      <c r="A1" s="54" t="s">
        <v>248</v>
      </c>
      <c r="B1" s="51"/>
      <c r="C1" s="51"/>
      <c r="D1" s="51"/>
      <c r="E1" s="51"/>
      <c r="F1" s="51"/>
      <c r="G1" s="51"/>
    </row>
    <row r="2" spans="1:10" ht="20.100000000000001" customHeight="1" x14ac:dyDescent="0.25">
      <c r="A2" s="21" t="s">
        <v>249</v>
      </c>
      <c r="B2" s="22" t="s">
        <v>12</v>
      </c>
      <c r="C2" s="21" t="s">
        <v>250</v>
      </c>
      <c r="D2" s="22" t="s">
        <v>13</v>
      </c>
      <c r="E2" s="21" t="s">
        <v>251</v>
      </c>
      <c r="F2" s="4">
        <v>808693167.33000004</v>
      </c>
      <c r="G2" s="21" t="s">
        <v>252</v>
      </c>
      <c r="H2" s="5">
        <v>0.87934599999999996</v>
      </c>
      <c r="I2" s="21" t="s">
        <v>253</v>
      </c>
      <c r="J2" s="6">
        <v>-0.1109</v>
      </c>
    </row>
    <row r="3" spans="1:10" ht="6" customHeight="1" x14ac:dyDescent="0.25"/>
    <row r="4" spans="1:10" ht="30" customHeight="1" x14ac:dyDescent="0.25">
      <c r="A4" s="1" t="s">
        <v>254</v>
      </c>
      <c r="B4" s="1" t="s">
        <v>255</v>
      </c>
      <c r="C4" s="1" t="s">
        <v>256</v>
      </c>
      <c r="D4" s="1" t="s">
        <v>257</v>
      </c>
      <c r="E4" s="1" t="s">
        <v>258</v>
      </c>
    </row>
    <row r="5" spans="1:10" ht="15.95" customHeight="1" x14ac:dyDescent="0.25">
      <c r="A5" s="2" t="s">
        <v>188</v>
      </c>
      <c r="B5" s="3" t="s">
        <v>189</v>
      </c>
      <c r="C5" s="4">
        <v>255200000</v>
      </c>
      <c r="D5" s="4">
        <v>1048872000</v>
      </c>
      <c r="E5" s="23">
        <v>1</v>
      </c>
    </row>
    <row r="6" spans="1:10" x14ac:dyDescent="0.25">
      <c r="A6" s="21" t="s">
        <v>69</v>
      </c>
      <c r="B6" s="24"/>
      <c r="C6" s="24"/>
      <c r="D6" s="20">
        <f>SUM(D5:D5)</f>
        <v>1048872000</v>
      </c>
      <c r="E6" s="25">
        <f>SUM(E5:E5)</f>
        <v>1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10" style="30" customWidth="1"/>
    <col min="2" max="2" width="40" style="30" customWidth="1"/>
    <col min="3" max="3" width="18" style="30" customWidth="1"/>
    <col min="4" max="4" width="22" style="30" customWidth="1"/>
    <col min="5" max="5" width="14" style="30" customWidth="1"/>
  </cols>
  <sheetData>
    <row r="1" spans="1:10" ht="27.95" customHeight="1" x14ac:dyDescent="0.25">
      <c r="A1" s="54" t="s">
        <v>259</v>
      </c>
      <c r="B1" s="51"/>
      <c r="C1" s="51"/>
      <c r="D1" s="51"/>
      <c r="E1" s="51"/>
      <c r="F1" s="51"/>
      <c r="G1" s="51"/>
    </row>
    <row r="2" spans="1:10" ht="20.100000000000001" customHeight="1" x14ac:dyDescent="0.25">
      <c r="A2" s="21" t="s">
        <v>249</v>
      </c>
      <c r="B2" s="22" t="s">
        <v>16</v>
      </c>
      <c r="C2" s="21" t="s">
        <v>250</v>
      </c>
      <c r="D2" s="22" t="s">
        <v>13</v>
      </c>
      <c r="E2" s="21" t="s">
        <v>251</v>
      </c>
      <c r="F2" s="4">
        <v>751586597.69000006</v>
      </c>
      <c r="G2" s="21" t="s">
        <v>252</v>
      </c>
      <c r="H2" s="5">
        <v>1.9083019999999999</v>
      </c>
      <c r="I2" s="21" t="s">
        <v>253</v>
      </c>
      <c r="J2" s="11">
        <v>3.09E-2</v>
      </c>
    </row>
    <row r="3" spans="1:10" ht="6" customHeight="1" x14ac:dyDescent="0.25"/>
    <row r="4" spans="1:10" ht="30" customHeight="1" x14ac:dyDescent="0.25">
      <c r="A4" s="1" t="s">
        <v>254</v>
      </c>
      <c r="B4" s="1" t="s">
        <v>255</v>
      </c>
      <c r="C4" s="1" t="s">
        <v>256</v>
      </c>
      <c r="D4" s="1" t="s">
        <v>257</v>
      </c>
      <c r="E4" s="1" t="s">
        <v>258</v>
      </c>
    </row>
    <row r="5" spans="1:10" ht="15.95" customHeight="1" x14ac:dyDescent="0.25">
      <c r="A5" s="2" t="s">
        <v>76</v>
      </c>
      <c r="B5" s="3" t="s">
        <v>77</v>
      </c>
      <c r="C5" s="4">
        <v>325000</v>
      </c>
      <c r="D5" s="4">
        <v>104081250</v>
      </c>
      <c r="E5" s="23">
        <v>0.14419999999999999</v>
      </c>
    </row>
    <row r="6" spans="1:10" ht="15.95" customHeight="1" x14ac:dyDescent="0.25">
      <c r="A6" s="7" t="s">
        <v>190</v>
      </c>
      <c r="B6" s="8" t="s">
        <v>191</v>
      </c>
      <c r="C6" s="9">
        <v>225000</v>
      </c>
      <c r="D6" s="9">
        <v>79875000</v>
      </c>
      <c r="E6" s="26">
        <v>0.11070000000000001</v>
      </c>
    </row>
    <row r="7" spans="1:10" ht="15.95" customHeight="1" x14ac:dyDescent="0.25">
      <c r="A7" s="2" t="s">
        <v>192</v>
      </c>
      <c r="B7" s="3" t="s">
        <v>193</v>
      </c>
      <c r="C7" s="4">
        <v>2250000</v>
      </c>
      <c r="D7" s="4">
        <v>79020000</v>
      </c>
      <c r="E7" s="23">
        <v>0.1095</v>
      </c>
    </row>
    <row r="8" spans="1:10" ht="15.95" customHeight="1" x14ac:dyDescent="0.25">
      <c r="A8" s="7" t="s">
        <v>138</v>
      </c>
      <c r="B8" s="8" t="s">
        <v>139</v>
      </c>
      <c r="C8" s="9">
        <v>655000</v>
      </c>
      <c r="D8" s="9">
        <v>76307500</v>
      </c>
      <c r="E8" s="26">
        <v>0.10580000000000001</v>
      </c>
    </row>
    <row r="9" spans="1:10" ht="15.95" customHeight="1" x14ac:dyDescent="0.25">
      <c r="A9" s="2" t="s">
        <v>196</v>
      </c>
      <c r="B9" s="3" t="s">
        <v>197</v>
      </c>
      <c r="C9" s="4">
        <v>4750000</v>
      </c>
      <c r="D9" s="4">
        <v>67925000</v>
      </c>
      <c r="E9" s="23">
        <v>9.4100000000000003E-2</v>
      </c>
    </row>
    <row r="10" spans="1:10" ht="15.95" customHeight="1" x14ac:dyDescent="0.25">
      <c r="A10" s="7" t="s">
        <v>140</v>
      </c>
      <c r="B10" s="8" t="s">
        <v>141</v>
      </c>
      <c r="C10" s="9">
        <v>3750000</v>
      </c>
      <c r="D10" s="9">
        <v>65625000</v>
      </c>
      <c r="E10" s="26">
        <v>9.0999999999999998E-2</v>
      </c>
    </row>
    <row r="11" spans="1:10" ht="15.95" customHeight="1" x14ac:dyDescent="0.25">
      <c r="A11" s="2" t="s">
        <v>106</v>
      </c>
      <c r="B11" s="3" t="s">
        <v>107</v>
      </c>
      <c r="C11" s="4">
        <v>1000000</v>
      </c>
      <c r="D11" s="4">
        <v>41900000</v>
      </c>
      <c r="E11" s="23">
        <v>5.8099999999999999E-2</v>
      </c>
    </row>
    <row r="12" spans="1:10" ht="15.95" customHeight="1" x14ac:dyDescent="0.25">
      <c r="A12" s="7" t="s">
        <v>148</v>
      </c>
      <c r="B12" s="8" t="s">
        <v>149</v>
      </c>
      <c r="C12" s="9">
        <v>1333333</v>
      </c>
      <c r="D12" s="9">
        <v>39119990</v>
      </c>
      <c r="E12" s="26">
        <v>5.4199999999999998E-2</v>
      </c>
    </row>
    <row r="13" spans="1:10" ht="15.95" customHeight="1" x14ac:dyDescent="0.25">
      <c r="A13" s="2" t="s">
        <v>84</v>
      </c>
      <c r="B13" s="3" t="s">
        <v>85</v>
      </c>
      <c r="C13" s="4">
        <v>1000000</v>
      </c>
      <c r="D13" s="4">
        <v>33020000</v>
      </c>
      <c r="E13" s="23">
        <v>4.5699999999999998E-2</v>
      </c>
    </row>
    <row r="14" spans="1:10" ht="15.95" customHeight="1" x14ac:dyDescent="0.25">
      <c r="A14" s="7" t="s">
        <v>150</v>
      </c>
      <c r="B14" s="8" t="s">
        <v>151</v>
      </c>
      <c r="C14" s="9">
        <v>250000</v>
      </c>
      <c r="D14" s="9">
        <v>29750000</v>
      </c>
      <c r="E14" s="26">
        <v>4.1200000000000001E-2</v>
      </c>
    </row>
    <row r="15" spans="1:10" ht="15.95" customHeight="1" x14ac:dyDescent="0.25">
      <c r="A15" s="2" t="s">
        <v>208</v>
      </c>
      <c r="B15" s="3" t="s">
        <v>209</v>
      </c>
      <c r="C15" s="4">
        <v>3000000</v>
      </c>
      <c r="D15" s="4">
        <v>28230000</v>
      </c>
      <c r="E15" s="23">
        <v>3.9199999999999999E-2</v>
      </c>
    </row>
    <row r="16" spans="1:10" ht="15.95" customHeight="1" x14ac:dyDescent="0.25">
      <c r="A16" s="7" t="s">
        <v>216</v>
      </c>
      <c r="B16" s="8" t="s">
        <v>217</v>
      </c>
      <c r="C16" s="9">
        <v>275000</v>
      </c>
      <c r="D16" s="9">
        <v>25093750</v>
      </c>
      <c r="E16" s="26">
        <v>3.4799999999999998E-2</v>
      </c>
    </row>
    <row r="17" spans="1:5" ht="15.95" customHeight="1" x14ac:dyDescent="0.25">
      <c r="A17" s="2" t="s">
        <v>218</v>
      </c>
      <c r="B17" s="3" t="s">
        <v>219</v>
      </c>
      <c r="C17" s="4">
        <v>25000</v>
      </c>
      <c r="D17" s="4">
        <v>24500000</v>
      </c>
      <c r="E17" s="23">
        <v>3.4000000000000002E-2</v>
      </c>
    </row>
    <row r="18" spans="1:5" ht="15.95" customHeight="1" x14ac:dyDescent="0.25">
      <c r="A18" s="7" t="s">
        <v>230</v>
      </c>
      <c r="B18" s="8" t="s">
        <v>231</v>
      </c>
      <c r="C18" s="9">
        <v>1375000</v>
      </c>
      <c r="D18" s="9">
        <v>16115000</v>
      </c>
      <c r="E18" s="26">
        <v>2.23E-2</v>
      </c>
    </row>
    <row r="19" spans="1:5" x14ac:dyDescent="0.25">
      <c r="A19" s="21" t="s">
        <v>69</v>
      </c>
      <c r="B19" s="24"/>
      <c r="C19" s="24"/>
      <c r="D19" s="20">
        <f>SUM(D5:D18)</f>
        <v>710562490</v>
      </c>
      <c r="E19" s="25">
        <f>SUM(E5:E18)</f>
        <v>0.98480000000000012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10" style="30" customWidth="1"/>
    <col min="2" max="2" width="40" style="30" customWidth="1"/>
    <col min="3" max="3" width="18" style="30" customWidth="1"/>
    <col min="4" max="4" width="22" style="30" customWidth="1"/>
    <col min="5" max="5" width="14" style="30" customWidth="1"/>
  </cols>
  <sheetData>
    <row r="1" spans="1:10" ht="27.95" customHeight="1" x14ac:dyDescent="0.25">
      <c r="A1" s="54" t="s">
        <v>260</v>
      </c>
      <c r="B1" s="51"/>
      <c r="C1" s="51"/>
      <c r="D1" s="51"/>
      <c r="E1" s="51"/>
      <c r="F1" s="51"/>
      <c r="G1" s="51"/>
    </row>
    <row r="2" spans="1:10" ht="20.100000000000001" customHeight="1" x14ac:dyDescent="0.25">
      <c r="A2" s="21" t="s">
        <v>249</v>
      </c>
      <c r="B2" s="22" t="s">
        <v>19</v>
      </c>
      <c r="C2" s="21" t="s">
        <v>250</v>
      </c>
      <c r="D2" s="22" t="s">
        <v>13</v>
      </c>
      <c r="E2" s="21" t="s">
        <v>251</v>
      </c>
      <c r="F2" s="4">
        <v>39692727.25</v>
      </c>
      <c r="G2" s="21" t="s">
        <v>252</v>
      </c>
      <c r="H2" s="5">
        <v>1.5477479999999999</v>
      </c>
      <c r="I2" s="21" t="s">
        <v>253</v>
      </c>
      <c r="J2" s="11">
        <v>0.14369999999999999</v>
      </c>
    </row>
    <row r="3" spans="1:10" ht="6" customHeight="1" x14ac:dyDescent="0.25"/>
    <row r="4" spans="1:10" ht="30" customHeight="1" x14ac:dyDescent="0.25">
      <c r="A4" s="1" t="s">
        <v>254</v>
      </c>
      <c r="B4" s="1" t="s">
        <v>255</v>
      </c>
      <c r="C4" s="1" t="s">
        <v>256</v>
      </c>
      <c r="D4" s="1" t="s">
        <v>257</v>
      </c>
      <c r="E4" s="1" t="s">
        <v>258</v>
      </c>
    </row>
    <row r="5" spans="1:10" ht="15.95" customHeight="1" x14ac:dyDescent="0.25">
      <c r="A5" s="2" t="s">
        <v>100</v>
      </c>
      <c r="B5" s="3" t="s">
        <v>101</v>
      </c>
      <c r="C5" s="4">
        <v>33560</v>
      </c>
      <c r="D5" s="4">
        <v>6544200</v>
      </c>
      <c r="E5" s="23">
        <v>0.16900000000000001</v>
      </c>
    </row>
    <row r="6" spans="1:10" ht="15.95" customHeight="1" x14ac:dyDescent="0.25">
      <c r="A6" s="7" t="s">
        <v>86</v>
      </c>
      <c r="B6" s="8" t="s">
        <v>87</v>
      </c>
      <c r="C6" s="9">
        <v>91759</v>
      </c>
      <c r="D6" s="9">
        <v>6056094</v>
      </c>
      <c r="E6" s="26">
        <v>0.15659999999999999</v>
      </c>
    </row>
    <row r="7" spans="1:10" ht="15.95" customHeight="1" x14ac:dyDescent="0.25">
      <c r="A7" s="2" t="s">
        <v>76</v>
      </c>
      <c r="B7" s="3" t="s">
        <v>77</v>
      </c>
      <c r="C7" s="4">
        <v>7735</v>
      </c>
      <c r="D7" s="4">
        <v>2477134</v>
      </c>
      <c r="E7" s="23">
        <v>6.4000000000000001E-2</v>
      </c>
    </row>
    <row r="8" spans="1:10" ht="15.95" customHeight="1" x14ac:dyDescent="0.25">
      <c r="A8" s="7" t="s">
        <v>84</v>
      </c>
      <c r="B8" s="8" t="s">
        <v>85</v>
      </c>
      <c r="C8" s="9">
        <v>72480</v>
      </c>
      <c r="D8" s="9">
        <v>2393290</v>
      </c>
      <c r="E8" s="26">
        <v>6.1899999999999997E-2</v>
      </c>
    </row>
    <row r="9" spans="1:10" ht="15.95" customHeight="1" x14ac:dyDescent="0.25">
      <c r="A9" s="2" t="s">
        <v>88</v>
      </c>
      <c r="B9" s="3" t="s">
        <v>89</v>
      </c>
      <c r="C9" s="4">
        <v>5215</v>
      </c>
      <c r="D9" s="4">
        <v>2218983</v>
      </c>
      <c r="E9" s="23">
        <v>5.74E-2</v>
      </c>
    </row>
    <row r="10" spans="1:10" ht="15.95" customHeight="1" x14ac:dyDescent="0.25">
      <c r="A10" s="7" t="s">
        <v>92</v>
      </c>
      <c r="B10" s="8" t="s">
        <v>93</v>
      </c>
      <c r="C10" s="9">
        <v>64900</v>
      </c>
      <c r="D10" s="9">
        <v>1831478</v>
      </c>
      <c r="E10" s="26">
        <v>4.7300000000000002E-2</v>
      </c>
    </row>
    <row r="11" spans="1:10" ht="15.95" customHeight="1" x14ac:dyDescent="0.25">
      <c r="A11" s="2" t="s">
        <v>110</v>
      </c>
      <c r="B11" s="3" t="s">
        <v>111</v>
      </c>
      <c r="C11" s="4">
        <v>19183</v>
      </c>
      <c r="D11" s="4">
        <v>1792651</v>
      </c>
      <c r="E11" s="23">
        <v>4.6300000000000001E-2</v>
      </c>
    </row>
    <row r="12" spans="1:10" ht="15.95" customHeight="1" x14ac:dyDescent="0.25">
      <c r="A12" s="7" t="s">
        <v>74</v>
      </c>
      <c r="B12" s="8" t="s">
        <v>75</v>
      </c>
      <c r="C12" s="9">
        <v>6652</v>
      </c>
      <c r="D12" s="9">
        <v>1717879</v>
      </c>
      <c r="E12" s="26">
        <v>4.4400000000000002E-2</v>
      </c>
    </row>
    <row r="13" spans="1:10" ht="15.95" customHeight="1" x14ac:dyDescent="0.25">
      <c r="A13" s="2" t="s">
        <v>108</v>
      </c>
      <c r="B13" s="3" t="s">
        <v>109</v>
      </c>
      <c r="C13" s="4">
        <v>14315</v>
      </c>
      <c r="D13" s="4">
        <v>1639068</v>
      </c>
      <c r="E13" s="23">
        <v>4.24E-2</v>
      </c>
    </row>
    <row r="14" spans="1:10" ht="15.95" customHeight="1" x14ac:dyDescent="0.25">
      <c r="A14" s="7" t="s">
        <v>90</v>
      </c>
      <c r="B14" s="8" t="s">
        <v>91</v>
      </c>
      <c r="C14" s="9">
        <v>5360</v>
      </c>
      <c r="D14" s="9">
        <v>1577180</v>
      </c>
      <c r="E14" s="26">
        <v>4.0800000000000003E-2</v>
      </c>
    </row>
    <row r="15" spans="1:10" ht="15.95" customHeight="1" x14ac:dyDescent="0.25">
      <c r="A15" s="2" t="s">
        <v>82</v>
      </c>
      <c r="B15" s="3" t="s">
        <v>83</v>
      </c>
      <c r="C15" s="4">
        <v>7980</v>
      </c>
      <c r="D15" s="4">
        <v>1554504</v>
      </c>
      <c r="E15" s="23">
        <v>4.0199999999999993E-2</v>
      </c>
    </row>
    <row r="16" spans="1:10" ht="15.95" customHeight="1" x14ac:dyDescent="0.25">
      <c r="A16" s="7" t="s">
        <v>80</v>
      </c>
      <c r="B16" s="8" t="s">
        <v>81</v>
      </c>
      <c r="C16" s="9">
        <v>2430</v>
      </c>
      <c r="D16" s="9">
        <v>1464075</v>
      </c>
      <c r="E16" s="26">
        <v>3.7900000000000003E-2</v>
      </c>
    </row>
    <row r="17" spans="1:5" ht="15.95" customHeight="1" x14ac:dyDescent="0.25">
      <c r="A17" s="2" t="s">
        <v>212</v>
      </c>
      <c r="B17" s="3" t="s">
        <v>213</v>
      </c>
      <c r="C17" s="4">
        <v>14150</v>
      </c>
      <c r="D17" s="4">
        <v>1430565</v>
      </c>
      <c r="E17" s="23">
        <v>3.7000000000000012E-2</v>
      </c>
    </row>
    <row r="18" spans="1:5" ht="15.95" customHeight="1" x14ac:dyDescent="0.25">
      <c r="A18" s="7" t="s">
        <v>126</v>
      </c>
      <c r="B18" s="8" t="s">
        <v>127</v>
      </c>
      <c r="C18" s="9">
        <v>60108</v>
      </c>
      <c r="D18" s="9">
        <v>1154675</v>
      </c>
      <c r="E18" s="26">
        <v>2.9899999999999999E-2</v>
      </c>
    </row>
    <row r="19" spans="1:5" x14ac:dyDescent="0.25">
      <c r="A19" s="21" t="s">
        <v>69</v>
      </c>
      <c r="B19" s="24"/>
      <c r="C19" s="24"/>
      <c r="D19" s="20">
        <f>SUM(D5:D18)</f>
        <v>33851776</v>
      </c>
      <c r="E19" s="25">
        <f>SUM(E5:E18)</f>
        <v>0.8751000000000001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10" style="30" customWidth="1"/>
    <col min="2" max="2" width="40" style="30" customWidth="1"/>
    <col min="3" max="3" width="18" style="30" customWidth="1"/>
    <col min="4" max="4" width="22" style="30" customWidth="1"/>
    <col min="5" max="5" width="14" style="30" customWidth="1"/>
  </cols>
  <sheetData>
    <row r="1" spans="1:10" ht="27.95" customHeight="1" x14ac:dyDescent="0.25">
      <c r="A1" s="54" t="s">
        <v>261</v>
      </c>
      <c r="B1" s="51"/>
      <c r="C1" s="51"/>
      <c r="D1" s="51"/>
      <c r="E1" s="51"/>
      <c r="F1" s="51"/>
      <c r="G1" s="51"/>
    </row>
    <row r="2" spans="1:10" ht="20.100000000000001" customHeight="1" x14ac:dyDescent="0.25">
      <c r="A2" s="21" t="s">
        <v>249</v>
      </c>
      <c r="B2" s="22" t="s">
        <v>19</v>
      </c>
      <c r="C2" s="21" t="s">
        <v>250</v>
      </c>
      <c r="D2" s="22" t="s">
        <v>13</v>
      </c>
      <c r="E2" s="21" t="s">
        <v>251</v>
      </c>
      <c r="F2" s="4">
        <v>7765850.4699999997</v>
      </c>
      <c r="G2" s="21" t="s">
        <v>252</v>
      </c>
      <c r="H2" s="5">
        <v>0.92948699999999995</v>
      </c>
      <c r="I2" s="21" t="s">
        <v>253</v>
      </c>
      <c r="J2" s="11">
        <v>3.1300000000000001E-2</v>
      </c>
    </row>
    <row r="3" spans="1:10" ht="6" customHeight="1" x14ac:dyDescent="0.25"/>
    <row r="4" spans="1:10" ht="30" customHeight="1" x14ac:dyDescent="0.25">
      <c r="A4" s="1" t="s">
        <v>254</v>
      </c>
      <c r="B4" s="1" t="s">
        <v>255</v>
      </c>
      <c r="C4" s="1" t="s">
        <v>256</v>
      </c>
      <c r="D4" s="1" t="s">
        <v>257</v>
      </c>
      <c r="E4" s="1" t="s">
        <v>258</v>
      </c>
    </row>
    <row r="5" spans="1:10" ht="15.95" customHeight="1" x14ac:dyDescent="0.25">
      <c r="A5" s="2" t="s">
        <v>78</v>
      </c>
      <c r="B5" s="3" t="s">
        <v>79</v>
      </c>
      <c r="C5" s="4">
        <v>1489</v>
      </c>
      <c r="D5" s="4">
        <v>1016987</v>
      </c>
      <c r="E5" s="23">
        <v>0.13039999999999999</v>
      </c>
    </row>
    <row r="6" spans="1:10" ht="15.95" customHeight="1" x14ac:dyDescent="0.25">
      <c r="A6" s="7" t="s">
        <v>76</v>
      </c>
      <c r="B6" s="8" t="s">
        <v>77</v>
      </c>
      <c r="C6" s="9">
        <v>2408</v>
      </c>
      <c r="D6" s="9">
        <v>771162</v>
      </c>
      <c r="E6" s="26">
        <v>9.9000000000000005E-2</v>
      </c>
    </row>
    <row r="7" spans="1:10" ht="15.95" customHeight="1" x14ac:dyDescent="0.25">
      <c r="A7" s="2" t="s">
        <v>74</v>
      </c>
      <c r="B7" s="3" t="s">
        <v>75</v>
      </c>
      <c r="C7" s="4">
        <v>2404</v>
      </c>
      <c r="D7" s="4">
        <v>620833</v>
      </c>
      <c r="E7" s="23">
        <v>7.9699999999999993E-2</v>
      </c>
    </row>
    <row r="8" spans="1:10" ht="15.95" customHeight="1" x14ac:dyDescent="0.25">
      <c r="A8" s="7" t="s">
        <v>88</v>
      </c>
      <c r="B8" s="8" t="s">
        <v>89</v>
      </c>
      <c r="C8" s="9">
        <v>1151</v>
      </c>
      <c r="D8" s="9">
        <v>489751</v>
      </c>
      <c r="E8" s="26">
        <v>6.2800000000000009E-2</v>
      </c>
    </row>
    <row r="9" spans="1:10" ht="15.95" customHeight="1" x14ac:dyDescent="0.25">
      <c r="A9" s="2" t="s">
        <v>108</v>
      </c>
      <c r="B9" s="3" t="s">
        <v>109</v>
      </c>
      <c r="C9" s="4">
        <v>3817</v>
      </c>
      <c r="D9" s="4">
        <v>437047</v>
      </c>
      <c r="E9" s="23">
        <v>5.6099999999999997E-2</v>
      </c>
    </row>
    <row r="10" spans="1:10" ht="15.95" customHeight="1" x14ac:dyDescent="0.25">
      <c r="A10" s="7" t="s">
        <v>94</v>
      </c>
      <c r="B10" s="8" t="s">
        <v>95</v>
      </c>
      <c r="C10" s="9">
        <v>13380</v>
      </c>
      <c r="D10" s="9">
        <v>413442</v>
      </c>
      <c r="E10" s="26">
        <v>5.3099999999999987E-2</v>
      </c>
    </row>
    <row r="11" spans="1:10" ht="15.95" customHeight="1" x14ac:dyDescent="0.25">
      <c r="A11" s="2" t="s">
        <v>92</v>
      </c>
      <c r="B11" s="3" t="s">
        <v>93</v>
      </c>
      <c r="C11" s="4">
        <v>12800</v>
      </c>
      <c r="D11" s="4">
        <v>361216</v>
      </c>
      <c r="E11" s="23">
        <v>4.6399999999999997E-2</v>
      </c>
    </row>
    <row r="12" spans="1:10" ht="15.95" customHeight="1" x14ac:dyDescent="0.25">
      <c r="A12" s="7" t="s">
        <v>124</v>
      </c>
      <c r="B12" s="8" t="s">
        <v>125</v>
      </c>
      <c r="C12" s="9">
        <v>1475</v>
      </c>
      <c r="D12" s="9">
        <v>268008</v>
      </c>
      <c r="E12" s="26">
        <v>3.44E-2</v>
      </c>
    </row>
    <row r="13" spans="1:10" ht="15.95" customHeight="1" x14ac:dyDescent="0.25">
      <c r="A13" s="2" t="s">
        <v>104</v>
      </c>
      <c r="B13" s="3" t="s">
        <v>105</v>
      </c>
      <c r="C13" s="4">
        <v>4070</v>
      </c>
      <c r="D13" s="4">
        <v>198209</v>
      </c>
      <c r="E13" s="23">
        <v>2.5399999999999999E-2</v>
      </c>
    </row>
    <row r="14" spans="1:10" x14ac:dyDescent="0.25">
      <c r="A14" s="21" t="s">
        <v>69</v>
      </c>
      <c r="B14" s="24"/>
      <c r="C14" s="24"/>
      <c r="D14" s="20">
        <f>SUM(D5:D13)</f>
        <v>4576655</v>
      </c>
      <c r="E14" s="25">
        <f>SUM(E5:E13)</f>
        <v>0.58729999999999993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10" style="30" customWidth="1"/>
    <col min="2" max="2" width="40" style="30" customWidth="1"/>
    <col min="3" max="3" width="18" style="30" customWidth="1"/>
    <col min="4" max="4" width="22" style="30" customWidth="1"/>
    <col min="5" max="5" width="14" style="30" customWidth="1"/>
    <col min="6" max="6" width="11.140625" bestFit="1" customWidth="1"/>
  </cols>
  <sheetData>
    <row r="1" spans="1:10" ht="27.95" customHeight="1" x14ac:dyDescent="0.25">
      <c r="A1" s="54" t="s">
        <v>262</v>
      </c>
      <c r="B1" s="51"/>
      <c r="C1" s="51"/>
      <c r="D1" s="51"/>
      <c r="E1" s="51"/>
      <c r="F1" s="51"/>
      <c r="G1" s="51"/>
    </row>
    <row r="2" spans="1:10" ht="20.100000000000001" customHeight="1" x14ac:dyDescent="0.25">
      <c r="A2" s="21" t="s">
        <v>249</v>
      </c>
      <c r="B2" s="22" t="s">
        <v>24</v>
      </c>
      <c r="C2" s="21" t="s">
        <v>250</v>
      </c>
      <c r="D2" s="22" t="s">
        <v>13</v>
      </c>
      <c r="E2" s="21" t="s">
        <v>251</v>
      </c>
      <c r="F2" s="4">
        <v>653504993.00999999</v>
      </c>
      <c r="G2" s="21" t="s">
        <v>252</v>
      </c>
      <c r="H2" s="5">
        <v>178.175862</v>
      </c>
      <c r="I2" s="21" t="s">
        <v>253</v>
      </c>
      <c r="J2" s="6">
        <v>-6.88E-2</v>
      </c>
    </row>
    <row r="3" spans="1:10" ht="6" customHeight="1" x14ac:dyDescent="0.25"/>
    <row r="4" spans="1:10" ht="30" customHeight="1" x14ac:dyDescent="0.25">
      <c r="A4" s="1" t="s">
        <v>254</v>
      </c>
      <c r="B4" s="1" t="s">
        <v>255</v>
      </c>
      <c r="C4" s="1" t="s">
        <v>256</v>
      </c>
      <c r="D4" s="1" t="s">
        <v>257</v>
      </c>
      <c r="E4" s="1" t="s">
        <v>258</v>
      </c>
    </row>
    <row r="5" spans="1:10" ht="15.95" customHeight="1" x14ac:dyDescent="0.25">
      <c r="A5" s="2" t="s">
        <v>200</v>
      </c>
      <c r="B5" s="3" t="s">
        <v>201</v>
      </c>
      <c r="C5" s="4">
        <v>3500000</v>
      </c>
      <c r="D5" s="4">
        <v>58170000</v>
      </c>
      <c r="E5" s="23">
        <v>8.6899999999999991E-2</v>
      </c>
    </row>
    <row r="6" spans="1:10" ht="15.95" customHeight="1" x14ac:dyDescent="0.25">
      <c r="A6" s="7" t="s">
        <v>122</v>
      </c>
      <c r="B6" s="8" t="s">
        <v>123</v>
      </c>
      <c r="C6" s="9">
        <v>1400001</v>
      </c>
      <c r="D6" s="9">
        <v>51940022</v>
      </c>
      <c r="E6" s="26">
        <v>7.7600000000000002E-2</v>
      </c>
    </row>
    <row r="7" spans="1:10" ht="15.95" customHeight="1" x14ac:dyDescent="0.25">
      <c r="A7" s="2" t="s">
        <v>120</v>
      </c>
      <c r="B7" s="3" t="s">
        <v>121</v>
      </c>
      <c r="C7" s="4">
        <v>1356000</v>
      </c>
      <c r="D7" s="4">
        <v>49494000</v>
      </c>
      <c r="E7" s="23">
        <v>7.3899999999999993E-2</v>
      </c>
    </row>
    <row r="8" spans="1:10" ht="15.95" customHeight="1" x14ac:dyDescent="0.25">
      <c r="A8" s="7" t="s">
        <v>132</v>
      </c>
      <c r="B8" s="8" t="s">
        <v>133</v>
      </c>
      <c r="C8" s="9">
        <v>1430001</v>
      </c>
      <c r="D8" s="9">
        <v>41756027</v>
      </c>
      <c r="E8" s="26">
        <v>6.2399999999999997E-2</v>
      </c>
    </row>
    <row r="9" spans="1:10" ht="15.95" customHeight="1" x14ac:dyDescent="0.25">
      <c r="A9" s="2" t="s">
        <v>94</v>
      </c>
      <c r="B9" s="3" t="s">
        <v>95</v>
      </c>
      <c r="C9" s="4">
        <v>625000</v>
      </c>
      <c r="D9" s="4">
        <v>19312500</v>
      </c>
      <c r="E9" s="23">
        <v>2.8899999999999999E-2</v>
      </c>
    </row>
    <row r="10" spans="1:10" ht="15.95" customHeight="1" x14ac:dyDescent="0.25">
      <c r="A10" s="7" t="s">
        <v>76</v>
      </c>
      <c r="B10" s="8" t="s">
        <v>77</v>
      </c>
      <c r="C10" s="9">
        <v>51470</v>
      </c>
      <c r="D10" s="9">
        <v>16483268</v>
      </c>
      <c r="E10" s="26">
        <v>2.46E-2</v>
      </c>
    </row>
    <row r="11" spans="1:10" x14ac:dyDescent="0.25">
      <c r="A11" s="21" t="s">
        <v>69</v>
      </c>
      <c r="B11" s="24"/>
      <c r="C11" s="24"/>
      <c r="D11" s="20">
        <f>SUM(D5:D10)</f>
        <v>237155817</v>
      </c>
      <c r="E11" s="25">
        <f>SUM(E5:E10)</f>
        <v>0.35429999999999995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10" style="30" customWidth="1"/>
    <col min="2" max="2" width="40" style="30" customWidth="1"/>
    <col min="3" max="3" width="18" style="30" customWidth="1"/>
    <col min="4" max="4" width="22" style="30" customWidth="1"/>
    <col min="5" max="5" width="14" style="30" customWidth="1"/>
  </cols>
  <sheetData>
    <row r="1" spans="1:10" ht="27.95" customHeight="1" x14ac:dyDescent="0.25">
      <c r="A1" s="54" t="s">
        <v>263</v>
      </c>
      <c r="B1" s="51"/>
      <c r="C1" s="51"/>
      <c r="D1" s="51"/>
      <c r="E1" s="51"/>
      <c r="F1" s="51"/>
      <c r="G1" s="51"/>
    </row>
    <row r="2" spans="1:10" ht="20.100000000000001" customHeight="1" x14ac:dyDescent="0.25">
      <c r="A2" s="21" t="s">
        <v>249</v>
      </c>
      <c r="B2" s="22" t="s">
        <v>16</v>
      </c>
      <c r="C2" s="21" t="s">
        <v>250</v>
      </c>
      <c r="D2" s="22" t="s">
        <v>13</v>
      </c>
      <c r="E2" s="21" t="s">
        <v>251</v>
      </c>
      <c r="F2" s="4">
        <v>841767965.19000006</v>
      </c>
      <c r="G2" s="21" t="s">
        <v>252</v>
      </c>
      <c r="H2" s="5">
        <v>1.9923900000000001</v>
      </c>
      <c r="I2" s="21" t="s">
        <v>253</v>
      </c>
      <c r="J2" s="11">
        <v>4.8499999999999988E-2</v>
      </c>
    </row>
    <row r="3" spans="1:10" ht="6" customHeight="1" x14ac:dyDescent="0.25"/>
    <row r="4" spans="1:10" ht="30" customHeight="1" x14ac:dyDescent="0.25">
      <c r="A4" s="1" t="s">
        <v>254</v>
      </c>
      <c r="B4" s="1" t="s">
        <v>255</v>
      </c>
      <c r="C4" s="1" t="s">
        <v>256</v>
      </c>
      <c r="D4" s="1" t="s">
        <v>257</v>
      </c>
      <c r="E4" s="1" t="s">
        <v>258</v>
      </c>
    </row>
    <row r="5" spans="1:10" ht="15.95" customHeight="1" x14ac:dyDescent="0.25">
      <c r="A5" s="2" t="s">
        <v>76</v>
      </c>
      <c r="B5" s="3" t="s">
        <v>77</v>
      </c>
      <c r="C5" s="4">
        <v>250000</v>
      </c>
      <c r="D5" s="4">
        <v>80062500</v>
      </c>
      <c r="E5" s="23">
        <v>9.5199999999999993E-2</v>
      </c>
    </row>
    <row r="6" spans="1:10" ht="15.95" customHeight="1" x14ac:dyDescent="0.25">
      <c r="A6" s="7" t="s">
        <v>138</v>
      </c>
      <c r="B6" s="8" t="s">
        <v>139</v>
      </c>
      <c r="C6" s="9">
        <v>667000</v>
      </c>
      <c r="D6" s="9">
        <v>77695500</v>
      </c>
      <c r="E6" s="26">
        <v>9.2300000000000007E-2</v>
      </c>
    </row>
    <row r="7" spans="1:10" ht="15.95" customHeight="1" x14ac:dyDescent="0.25">
      <c r="A7" s="2" t="s">
        <v>140</v>
      </c>
      <c r="B7" s="3" t="s">
        <v>141</v>
      </c>
      <c r="C7" s="4">
        <v>3725000</v>
      </c>
      <c r="D7" s="4">
        <v>65187500</v>
      </c>
      <c r="E7" s="23">
        <v>7.7399999999999997E-2</v>
      </c>
    </row>
    <row r="8" spans="1:10" ht="15.95" customHeight="1" x14ac:dyDescent="0.25">
      <c r="A8" s="7" t="s">
        <v>106</v>
      </c>
      <c r="B8" s="8" t="s">
        <v>107</v>
      </c>
      <c r="C8" s="9">
        <v>1250000</v>
      </c>
      <c r="D8" s="9">
        <v>52375000</v>
      </c>
      <c r="E8" s="26">
        <v>6.2199999999999998E-2</v>
      </c>
    </row>
    <row r="9" spans="1:10" ht="15.95" customHeight="1" x14ac:dyDescent="0.25">
      <c r="A9" s="2" t="s">
        <v>84</v>
      </c>
      <c r="B9" s="3" t="s">
        <v>85</v>
      </c>
      <c r="C9" s="4">
        <v>1250000</v>
      </c>
      <c r="D9" s="4">
        <v>41275000</v>
      </c>
      <c r="E9" s="23">
        <v>4.9000000000000002E-2</v>
      </c>
    </row>
    <row r="10" spans="1:10" ht="15.95" customHeight="1" x14ac:dyDescent="0.25">
      <c r="A10" s="7" t="s">
        <v>90</v>
      </c>
      <c r="B10" s="8" t="s">
        <v>91</v>
      </c>
      <c r="C10" s="9">
        <v>125000</v>
      </c>
      <c r="D10" s="9">
        <v>36781250</v>
      </c>
      <c r="E10" s="26">
        <v>4.3700000000000003E-2</v>
      </c>
    </row>
    <row r="11" spans="1:10" ht="15.95" customHeight="1" x14ac:dyDescent="0.25">
      <c r="A11" s="2" t="s">
        <v>94</v>
      </c>
      <c r="B11" s="3" t="s">
        <v>95</v>
      </c>
      <c r="C11" s="4">
        <v>750000</v>
      </c>
      <c r="D11" s="4">
        <v>23175000</v>
      </c>
      <c r="E11" s="23">
        <v>2.75E-2</v>
      </c>
    </row>
    <row r="12" spans="1:10" ht="15.95" customHeight="1" x14ac:dyDescent="0.25">
      <c r="A12" s="7" t="s">
        <v>74</v>
      </c>
      <c r="B12" s="8" t="s">
        <v>75</v>
      </c>
      <c r="C12" s="9">
        <v>75000</v>
      </c>
      <c r="D12" s="9">
        <v>19368750</v>
      </c>
      <c r="E12" s="26">
        <v>2.3E-2</v>
      </c>
    </row>
    <row r="13" spans="1:10" ht="15.95" customHeight="1" x14ac:dyDescent="0.25">
      <c r="A13" s="2" t="s">
        <v>86</v>
      </c>
      <c r="B13" s="3" t="s">
        <v>87</v>
      </c>
      <c r="C13" s="4">
        <v>200000</v>
      </c>
      <c r="D13" s="4">
        <v>13200000</v>
      </c>
      <c r="E13" s="23">
        <v>1.5699999999999999E-2</v>
      </c>
    </row>
    <row r="14" spans="1:10" x14ac:dyDescent="0.25">
      <c r="A14" s="21" t="s">
        <v>69</v>
      </c>
      <c r="B14" s="24"/>
      <c r="C14" s="24"/>
      <c r="D14" s="20">
        <f>SUM(D5:D13)</f>
        <v>409120500</v>
      </c>
      <c r="E14" s="25">
        <f>SUM(E5:E13)</f>
        <v>0.48600000000000004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10" style="30" customWidth="1"/>
    <col min="2" max="2" width="40" style="30" customWidth="1"/>
    <col min="3" max="3" width="18" style="30" customWidth="1"/>
    <col min="4" max="4" width="22" style="30" customWidth="1"/>
    <col min="5" max="5" width="14" style="30" customWidth="1"/>
  </cols>
  <sheetData>
    <row r="1" spans="1:10" ht="27.95" customHeight="1" x14ac:dyDescent="0.25">
      <c r="A1" s="54" t="s">
        <v>264</v>
      </c>
      <c r="B1" s="51"/>
      <c r="C1" s="51"/>
      <c r="D1" s="51"/>
      <c r="E1" s="51"/>
      <c r="F1" s="51"/>
      <c r="G1" s="51"/>
    </row>
    <row r="2" spans="1:10" ht="20.100000000000001" customHeight="1" x14ac:dyDescent="0.25">
      <c r="A2" s="21" t="s">
        <v>249</v>
      </c>
      <c r="B2" s="22" t="s">
        <v>12</v>
      </c>
      <c r="C2" s="21" t="s">
        <v>250</v>
      </c>
      <c r="D2" s="22" t="s">
        <v>13</v>
      </c>
      <c r="E2" s="21" t="s">
        <v>251</v>
      </c>
      <c r="F2" s="4">
        <v>118568326.2</v>
      </c>
      <c r="G2" s="21" t="s">
        <v>252</v>
      </c>
      <c r="H2" s="5">
        <v>1.532151</v>
      </c>
      <c r="I2" s="21" t="s">
        <v>253</v>
      </c>
      <c r="J2" s="11">
        <v>6.2600000000000003E-2</v>
      </c>
    </row>
    <row r="3" spans="1:10" ht="6" customHeight="1" x14ac:dyDescent="0.25"/>
    <row r="4" spans="1:10" ht="30" customHeight="1" x14ac:dyDescent="0.25">
      <c r="A4" s="1" t="s">
        <v>254</v>
      </c>
      <c r="B4" s="1" t="s">
        <v>255</v>
      </c>
      <c r="C4" s="1" t="s">
        <v>256</v>
      </c>
      <c r="D4" s="1" t="s">
        <v>257</v>
      </c>
      <c r="E4" s="1" t="s">
        <v>258</v>
      </c>
    </row>
    <row r="5" spans="1:10" ht="15.95" customHeight="1" x14ac:dyDescent="0.25">
      <c r="A5" s="2" t="s">
        <v>90</v>
      </c>
      <c r="B5" s="3" t="s">
        <v>91</v>
      </c>
      <c r="C5" s="4">
        <v>25000</v>
      </c>
      <c r="D5" s="4">
        <v>7356250</v>
      </c>
      <c r="E5" s="23">
        <v>6.2199999999999998E-2</v>
      </c>
    </row>
    <row r="6" spans="1:10" ht="15.95" customHeight="1" x14ac:dyDescent="0.25">
      <c r="A6" s="7" t="s">
        <v>86</v>
      </c>
      <c r="B6" s="8" t="s">
        <v>87</v>
      </c>
      <c r="C6" s="9">
        <v>110000</v>
      </c>
      <c r="D6" s="9">
        <v>7260000</v>
      </c>
      <c r="E6" s="26">
        <v>6.13E-2</v>
      </c>
    </row>
    <row r="7" spans="1:10" ht="15.95" customHeight="1" x14ac:dyDescent="0.25">
      <c r="A7" s="2" t="s">
        <v>78</v>
      </c>
      <c r="B7" s="3" t="s">
        <v>79</v>
      </c>
      <c r="C7" s="4">
        <v>10000</v>
      </c>
      <c r="D7" s="4">
        <v>6830000</v>
      </c>
      <c r="E7" s="23">
        <v>5.7599999999999998E-2</v>
      </c>
    </row>
    <row r="8" spans="1:10" ht="15.95" customHeight="1" x14ac:dyDescent="0.25">
      <c r="A8" s="7" t="s">
        <v>114</v>
      </c>
      <c r="B8" s="8" t="s">
        <v>115</v>
      </c>
      <c r="C8" s="9">
        <v>350000</v>
      </c>
      <c r="D8" s="9">
        <v>4609500</v>
      </c>
      <c r="E8" s="26">
        <v>3.8899999999999997E-2</v>
      </c>
    </row>
    <row r="9" spans="1:10" ht="15.95" customHeight="1" x14ac:dyDescent="0.25">
      <c r="A9" s="2" t="s">
        <v>98</v>
      </c>
      <c r="B9" s="3" t="s">
        <v>99</v>
      </c>
      <c r="C9" s="4">
        <v>50000</v>
      </c>
      <c r="D9" s="4">
        <v>4470000</v>
      </c>
      <c r="E9" s="23">
        <v>3.7699999999999997E-2</v>
      </c>
    </row>
    <row r="10" spans="1:10" ht="15.95" customHeight="1" x14ac:dyDescent="0.25">
      <c r="A10" s="7" t="s">
        <v>84</v>
      </c>
      <c r="B10" s="8" t="s">
        <v>85</v>
      </c>
      <c r="C10" s="9">
        <v>120000</v>
      </c>
      <c r="D10" s="9">
        <v>3962400</v>
      </c>
      <c r="E10" s="26">
        <v>3.3399999999999999E-2</v>
      </c>
    </row>
    <row r="11" spans="1:10" ht="15.95" customHeight="1" x14ac:dyDescent="0.25">
      <c r="A11" s="2" t="s">
        <v>82</v>
      </c>
      <c r="B11" s="3" t="s">
        <v>83</v>
      </c>
      <c r="C11" s="4">
        <v>20000</v>
      </c>
      <c r="D11" s="4">
        <v>3896000</v>
      </c>
      <c r="E11" s="23">
        <v>3.2899999999999999E-2</v>
      </c>
    </row>
    <row r="12" spans="1:10" ht="15.95" customHeight="1" x14ac:dyDescent="0.25">
      <c r="A12" s="7" t="s">
        <v>102</v>
      </c>
      <c r="B12" s="8" t="s">
        <v>103</v>
      </c>
      <c r="C12" s="9">
        <v>35000</v>
      </c>
      <c r="D12" s="9">
        <v>3706500</v>
      </c>
      <c r="E12" s="26">
        <v>3.1199999999999999E-2</v>
      </c>
    </row>
    <row r="13" spans="1:10" ht="15.95" customHeight="1" x14ac:dyDescent="0.25">
      <c r="A13" s="2" t="s">
        <v>106</v>
      </c>
      <c r="B13" s="3" t="s">
        <v>107</v>
      </c>
      <c r="C13" s="4">
        <v>85000</v>
      </c>
      <c r="D13" s="4">
        <v>3561500</v>
      </c>
      <c r="E13" s="23">
        <v>0.03</v>
      </c>
    </row>
    <row r="14" spans="1:10" ht="15.95" customHeight="1" x14ac:dyDescent="0.25">
      <c r="A14" s="7" t="s">
        <v>92</v>
      </c>
      <c r="B14" s="8" t="s">
        <v>93</v>
      </c>
      <c r="C14" s="9">
        <v>110000</v>
      </c>
      <c r="D14" s="9">
        <v>3104200</v>
      </c>
      <c r="E14" s="26">
        <v>2.6200000000000001E-2</v>
      </c>
    </row>
    <row r="15" spans="1:10" ht="15.95" customHeight="1" x14ac:dyDescent="0.25">
      <c r="A15" s="2" t="s">
        <v>110</v>
      </c>
      <c r="B15" s="3" t="s">
        <v>111</v>
      </c>
      <c r="C15" s="4">
        <v>30000</v>
      </c>
      <c r="D15" s="4">
        <v>2803500</v>
      </c>
      <c r="E15" s="23">
        <v>2.3699999999999999E-2</v>
      </c>
    </row>
    <row r="16" spans="1:10" ht="15.95" customHeight="1" x14ac:dyDescent="0.25">
      <c r="A16" s="7" t="s">
        <v>80</v>
      </c>
      <c r="B16" s="8" t="s">
        <v>81</v>
      </c>
      <c r="C16" s="9">
        <v>4500</v>
      </c>
      <c r="D16" s="9">
        <v>2711250</v>
      </c>
      <c r="E16" s="26">
        <v>2.29E-2</v>
      </c>
    </row>
    <row r="17" spans="1:5" ht="15.95" customHeight="1" x14ac:dyDescent="0.25">
      <c r="A17" s="2" t="s">
        <v>96</v>
      </c>
      <c r="B17" s="3" t="s">
        <v>97</v>
      </c>
      <c r="C17" s="4">
        <v>20000</v>
      </c>
      <c r="D17" s="4">
        <v>2530000</v>
      </c>
      <c r="E17" s="23">
        <v>2.1299999999999999E-2</v>
      </c>
    </row>
    <row r="18" spans="1:5" x14ac:dyDescent="0.25">
      <c r="A18" s="21" t="s">
        <v>69</v>
      </c>
      <c r="B18" s="24"/>
      <c r="C18" s="24"/>
      <c r="D18" s="20">
        <f>SUM(D5:D17)</f>
        <v>56801100</v>
      </c>
      <c r="E18" s="25">
        <f>SUM(E5:E17)</f>
        <v>0.47929999999999995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10" style="30" customWidth="1"/>
    <col min="2" max="2" width="40" style="30" customWidth="1"/>
    <col min="3" max="3" width="18" style="30" customWidth="1"/>
    <col min="4" max="4" width="22" style="30" customWidth="1"/>
    <col min="5" max="5" width="14" style="30" customWidth="1"/>
    <col min="6" max="6" width="11.140625" bestFit="1" customWidth="1"/>
  </cols>
  <sheetData>
    <row r="1" spans="1:10" ht="27.95" customHeight="1" x14ac:dyDescent="0.25">
      <c r="A1" s="54" t="s">
        <v>265</v>
      </c>
      <c r="B1" s="51"/>
      <c r="C1" s="51"/>
      <c r="D1" s="51"/>
      <c r="E1" s="51"/>
      <c r="F1" s="51"/>
      <c r="G1" s="51"/>
    </row>
    <row r="2" spans="1:10" ht="20.100000000000001" customHeight="1" x14ac:dyDescent="0.25">
      <c r="A2" s="21" t="s">
        <v>249</v>
      </c>
      <c r="B2" s="22" t="s">
        <v>31</v>
      </c>
      <c r="C2" s="21" t="s">
        <v>250</v>
      </c>
      <c r="D2" s="22" t="s">
        <v>13</v>
      </c>
      <c r="E2" s="21" t="s">
        <v>251</v>
      </c>
      <c r="F2" s="4">
        <v>725583664.72000003</v>
      </c>
      <c r="G2" s="21" t="s">
        <v>252</v>
      </c>
      <c r="H2" s="5">
        <v>7.1771609999999999</v>
      </c>
      <c r="I2" s="21" t="s">
        <v>253</v>
      </c>
      <c r="J2" s="6">
        <v>-1.34E-2</v>
      </c>
    </row>
    <row r="3" spans="1:10" ht="6" customHeight="1" x14ac:dyDescent="0.25"/>
    <row r="4" spans="1:10" ht="30" customHeight="1" x14ac:dyDescent="0.25">
      <c r="A4" s="1" t="s">
        <v>254</v>
      </c>
      <c r="B4" s="1" t="s">
        <v>255</v>
      </c>
      <c r="C4" s="1" t="s">
        <v>256</v>
      </c>
      <c r="D4" s="1" t="s">
        <v>257</v>
      </c>
      <c r="E4" s="1" t="s">
        <v>258</v>
      </c>
    </row>
    <row r="5" spans="1:10" ht="15.95" customHeight="1" x14ac:dyDescent="0.25">
      <c r="A5" s="2" t="s">
        <v>194</v>
      </c>
      <c r="B5" s="3" t="s">
        <v>195</v>
      </c>
      <c r="C5" s="4">
        <v>2300000</v>
      </c>
      <c r="D5" s="4">
        <v>76820000</v>
      </c>
      <c r="E5" s="23">
        <v>0.10589999999999999</v>
      </c>
    </row>
    <row r="6" spans="1:10" ht="15.95" customHeight="1" x14ac:dyDescent="0.25">
      <c r="A6" s="7" t="s">
        <v>78</v>
      </c>
      <c r="B6" s="8" t="s">
        <v>79</v>
      </c>
      <c r="C6" s="9">
        <v>40341</v>
      </c>
      <c r="D6" s="9">
        <v>27552903</v>
      </c>
      <c r="E6" s="26">
        <v>3.7900000000000003E-2</v>
      </c>
    </row>
    <row r="7" spans="1:10" ht="15.95" customHeight="1" x14ac:dyDescent="0.25">
      <c r="A7" s="2" t="s">
        <v>86</v>
      </c>
      <c r="B7" s="3" t="s">
        <v>87</v>
      </c>
      <c r="C7" s="4">
        <v>356760</v>
      </c>
      <c r="D7" s="4">
        <v>23546160</v>
      </c>
      <c r="E7" s="23">
        <v>3.2400000000000012E-2</v>
      </c>
    </row>
    <row r="8" spans="1:10" ht="15.95" customHeight="1" x14ac:dyDescent="0.25">
      <c r="A8" s="7" t="s">
        <v>76</v>
      </c>
      <c r="B8" s="8" t="s">
        <v>77</v>
      </c>
      <c r="C8" s="9">
        <v>40920</v>
      </c>
      <c r="D8" s="9">
        <v>13104630</v>
      </c>
      <c r="E8" s="26">
        <v>1.8100000000000002E-2</v>
      </c>
    </row>
    <row r="9" spans="1:10" ht="15.95" customHeight="1" x14ac:dyDescent="0.25">
      <c r="A9" s="2" t="s">
        <v>96</v>
      </c>
      <c r="B9" s="3" t="s">
        <v>97</v>
      </c>
      <c r="C9" s="4">
        <v>99000</v>
      </c>
      <c r="D9" s="4">
        <v>12523500</v>
      </c>
      <c r="E9" s="23">
        <v>1.72E-2</v>
      </c>
    </row>
    <row r="10" spans="1:10" ht="15.95" customHeight="1" x14ac:dyDescent="0.25">
      <c r="A10" s="7" t="s">
        <v>92</v>
      </c>
      <c r="B10" s="8" t="s">
        <v>93</v>
      </c>
      <c r="C10" s="9">
        <v>428885</v>
      </c>
      <c r="D10" s="9">
        <v>12103135</v>
      </c>
      <c r="E10" s="26">
        <v>1.67E-2</v>
      </c>
    </row>
    <row r="11" spans="1:10" ht="15.95" customHeight="1" x14ac:dyDescent="0.25">
      <c r="A11" s="2" t="s">
        <v>74</v>
      </c>
      <c r="B11" s="3" t="s">
        <v>75</v>
      </c>
      <c r="C11" s="4">
        <v>44763</v>
      </c>
      <c r="D11" s="4">
        <v>11560045</v>
      </c>
      <c r="E11" s="23">
        <v>1.5900000000000001E-2</v>
      </c>
    </row>
    <row r="12" spans="1:10" ht="15.95" customHeight="1" x14ac:dyDescent="0.25">
      <c r="A12" s="7" t="s">
        <v>84</v>
      </c>
      <c r="B12" s="8" t="s">
        <v>85</v>
      </c>
      <c r="C12" s="9">
        <v>306884</v>
      </c>
      <c r="D12" s="9">
        <v>10133310</v>
      </c>
      <c r="E12" s="26">
        <v>1.4E-2</v>
      </c>
    </row>
    <row r="13" spans="1:10" ht="15.95" customHeight="1" x14ac:dyDescent="0.25">
      <c r="A13" s="2" t="s">
        <v>82</v>
      </c>
      <c r="B13" s="3" t="s">
        <v>83</v>
      </c>
      <c r="C13" s="4">
        <v>51600</v>
      </c>
      <c r="D13" s="4">
        <v>10051680</v>
      </c>
      <c r="E13" s="23">
        <v>1.38E-2</v>
      </c>
    </row>
    <row r="14" spans="1:10" ht="15.95" customHeight="1" x14ac:dyDescent="0.25">
      <c r="A14" s="7" t="s">
        <v>80</v>
      </c>
      <c r="B14" s="8" t="s">
        <v>81</v>
      </c>
      <c r="C14" s="9">
        <v>14577</v>
      </c>
      <c r="D14" s="9">
        <v>8782643</v>
      </c>
      <c r="E14" s="26">
        <v>1.21E-2</v>
      </c>
    </row>
    <row r="15" spans="1:10" x14ac:dyDescent="0.25">
      <c r="A15" s="21" t="s">
        <v>69</v>
      </c>
      <c r="B15" s="24"/>
      <c r="C15" s="24"/>
      <c r="D15" s="20">
        <f>SUM(D5:D14)</f>
        <v>206178006</v>
      </c>
      <c r="E15" s="25">
        <f>SUM(E5:E14)</f>
        <v>0.28399999999999997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10" style="30" customWidth="1"/>
    <col min="2" max="2" width="40" style="30" customWidth="1"/>
    <col min="3" max="3" width="18" style="30" customWidth="1"/>
    <col min="4" max="4" width="22" style="30" customWidth="1"/>
    <col min="5" max="5" width="14" style="30" customWidth="1"/>
  </cols>
  <sheetData>
    <row r="1" spans="1:10" ht="27.95" customHeight="1" x14ac:dyDescent="0.25">
      <c r="A1" s="54" t="s">
        <v>266</v>
      </c>
      <c r="B1" s="51"/>
      <c r="C1" s="51"/>
      <c r="D1" s="51"/>
      <c r="E1" s="51"/>
      <c r="F1" s="51"/>
      <c r="G1" s="51"/>
    </row>
    <row r="2" spans="1:10" ht="20.100000000000001" customHeight="1" x14ac:dyDescent="0.25">
      <c r="A2" s="21" t="s">
        <v>249</v>
      </c>
      <c r="B2" s="22" t="s">
        <v>34</v>
      </c>
      <c r="C2" s="21" t="s">
        <v>250</v>
      </c>
      <c r="D2" s="22" t="s">
        <v>13</v>
      </c>
      <c r="E2" s="21" t="s">
        <v>251</v>
      </c>
      <c r="F2" s="4">
        <v>419300578.58999997</v>
      </c>
      <c r="G2" s="21" t="s">
        <v>252</v>
      </c>
      <c r="H2" s="5">
        <v>3.3968219999999998</v>
      </c>
      <c r="I2" s="21" t="s">
        <v>253</v>
      </c>
      <c r="J2" s="6">
        <v>-3.09E-2</v>
      </c>
    </row>
    <row r="3" spans="1:10" ht="6" customHeight="1" x14ac:dyDescent="0.25"/>
    <row r="4" spans="1:10" ht="30" customHeight="1" x14ac:dyDescent="0.25">
      <c r="A4" s="1" t="s">
        <v>254</v>
      </c>
      <c r="B4" s="1" t="s">
        <v>255</v>
      </c>
      <c r="C4" s="1" t="s">
        <v>256</v>
      </c>
      <c r="D4" s="1" t="s">
        <v>257</v>
      </c>
      <c r="E4" s="1" t="s">
        <v>258</v>
      </c>
    </row>
    <row r="5" spans="1:10" ht="15.95" customHeight="1" x14ac:dyDescent="0.25">
      <c r="A5" s="2" t="s">
        <v>98</v>
      </c>
      <c r="B5" s="3" t="s">
        <v>99</v>
      </c>
      <c r="C5" s="4">
        <v>803336</v>
      </c>
      <c r="D5" s="4">
        <v>71817218</v>
      </c>
      <c r="E5" s="23">
        <v>0.17130000000000001</v>
      </c>
    </row>
    <row r="6" spans="1:10" ht="15.95" customHeight="1" x14ac:dyDescent="0.25">
      <c r="A6" s="7" t="s">
        <v>102</v>
      </c>
      <c r="B6" s="8" t="s">
        <v>103</v>
      </c>
      <c r="C6" s="9">
        <v>510831</v>
      </c>
      <c r="D6" s="9">
        <v>54097009</v>
      </c>
      <c r="E6" s="26">
        <v>0.129</v>
      </c>
    </row>
    <row r="7" spans="1:10" ht="15.95" customHeight="1" x14ac:dyDescent="0.25">
      <c r="A7" s="2" t="s">
        <v>96</v>
      </c>
      <c r="B7" s="3" t="s">
        <v>97</v>
      </c>
      <c r="C7" s="4">
        <v>372882</v>
      </c>
      <c r="D7" s="4">
        <v>47168973</v>
      </c>
      <c r="E7" s="23">
        <v>0.1125</v>
      </c>
    </row>
    <row r="8" spans="1:10" ht="15.95" customHeight="1" x14ac:dyDescent="0.25">
      <c r="A8" s="7" t="s">
        <v>114</v>
      </c>
      <c r="B8" s="8" t="s">
        <v>115</v>
      </c>
      <c r="C8" s="9">
        <v>3097649</v>
      </c>
      <c r="D8" s="9">
        <v>40797354</v>
      </c>
      <c r="E8" s="26">
        <v>9.7299999999999998E-2</v>
      </c>
    </row>
    <row r="9" spans="1:10" ht="15.95" customHeight="1" x14ac:dyDescent="0.25">
      <c r="A9" s="2" t="s">
        <v>118</v>
      </c>
      <c r="B9" s="3" t="s">
        <v>119</v>
      </c>
      <c r="C9" s="4">
        <v>97200</v>
      </c>
      <c r="D9" s="4">
        <v>29913300</v>
      </c>
      <c r="E9" s="23">
        <v>7.1399999999999991E-2</v>
      </c>
    </row>
    <row r="10" spans="1:10" ht="15.95" customHeight="1" x14ac:dyDescent="0.25">
      <c r="A10" s="7" t="s">
        <v>90</v>
      </c>
      <c r="B10" s="8" t="s">
        <v>91</v>
      </c>
      <c r="C10" s="9">
        <v>90195</v>
      </c>
      <c r="D10" s="9">
        <v>26539879</v>
      </c>
      <c r="E10" s="26">
        <v>6.3299999999999995E-2</v>
      </c>
    </row>
    <row r="11" spans="1:10" ht="15.95" customHeight="1" x14ac:dyDescent="0.25">
      <c r="A11" s="2" t="s">
        <v>86</v>
      </c>
      <c r="B11" s="3" t="s">
        <v>87</v>
      </c>
      <c r="C11" s="4">
        <v>281708</v>
      </c>
      <c r="D11" s="4">
        <v>18592728</v>
      </c>
      <c r="E11" s="23">
        <v>4.4299999999999999E-2</v>
      </c>
    </row>
    <row r="12" spans="1:10" ht="15.95" customHeight="1" x14ac:dyDescent="0.25">
      <c r="A12" s="7" t="s">
        <v>82</v>
      </c>
      <c r="B12" s="8" t="s">
        <v>83</v>
      </c>
      <c r="C12" s="9">
        <v>75549</v>
      </c>
      <c r="D12" s="9">
        <v>14716945</v>
      </c>
      <c r="E12" s="26">
        <v>3.5099999999999999E-2</v>
      </c>
    </row>
    <row r="13" spans="1:10" ht="15.95" customHeight="1" x14ac:dyDescent="0.25">
      <c r="A13" s="2" t="s">
        <v>74</v>
      </c>
      <c r="B13" s="3" t="s">
        <v>75</v>
      </c>
      <c r="C13" s="4">
        <v>20394</v>
      </c>
      <c r="D13" s="4">
        <v>5266750</v>
      </c>
      <c r="E13" s="23">
        <v>1.26E-2</v>
      </c>
    </row>
    <row r="14" spans="1:10" x14ac:dyDescent="0.25">
      <c r="A14" s="21" t="s">
        <v>69</v>
      </c>
      <c r="B14" s="24"/>
      <c r="C14" s="24"/>
      <c r="D14" s="20">
        <f>SUM(D5:D13)</f>
        <v>308910156</v>
      </c>
      <c r="E14" s="25">
        <f>SUM(E5:E13)</f>
        <v>0.73680000000000012</v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10" style="30" customWidth="1"/>
    <col min="2" max="2" width="40" style="30" customWidth="1"/>
    <col min="3" max="3" width="18" style="30" customWidth="1"/>
    <col min="4" max="4" width="22" style="30" customWidth="1"/>
    <col min="5" max="5" width="14" style="30" customWidth="1"/>
  </cols>
  <sheetData>
    <row r="1" spans="1:10" ht="27.95" customHeight="1" x14ac:dyDescent="0.25">
      <c r="A1" s="54" t="s">
        <v>267</v>
      </c>
      <c r="B1" s="51"/>
      <c r="C1" s="51"/>
      <c r="D1" s="51"/>
      <c r="E1" s="51"/>
      <c r="F1" s="51"/>
      <c r="G1" s="51"/>
    </row>
    <row r="2" spans="1:10" ht="20.100000000000001" customHeight="1" x14ac:dyDescent="0.25">
      <c r="A2" s="21" t="s">
        <v>249</v>
      </c>
      <c r="B2" s="22" t="s">
        <v>37</v>
      </c>
      <c r="C2" s="21" t="s">
        <v>250</v>
      </c>
      <c r="D2" s="22" t="s">
        <v>13</v>
      </c>
      <c r="E2" s="21" t="s">
        <v>251</v>
      </c>
      <c r="F2" s="4">
        <v>100698268.42</v>
      </c>
      <c r="G2" s="21" t="s">
        <v>252</v>
      </c>
      <c r="H2" s="5">
        <v>7.0142910000000001</v>
      </c>
      <c r="I2" s="21" t="s">
        <v>253</v>
      </c>
      <c r="J2" s="11">
        <v>0.10199999999999999</v>
      </c>
    </row>
    <row r="3" spans="1:10" ht="6" customHeight="1" x14ac:dyDescent="0.25"/>
    <row r="4" spans="1:10" ht="30" customHeight="1" x14ac:dyDescent="0.25">
      <c r="A4" s="1" t="s">
        <v>254</v>
      </c>
      <c r="B4" s="1" t="s">
        <v>255</v>
      </c>
      <c r="C4" s="1" t="s">
        <v>256</v>
      </c>
      <c r="D4" s="1" t="s">
        <v>257</v>
      </c>
      <c r="E4" s="1" t="s">
        <v>258</v>
      </c>
    </row>
    <row r="5" spans="1:10" ht="15.95" customHeight="1" x14ac:dyDescent="0.25">
      <c r="A5" s="2" t="s">
        <v>146</v>
      </c>
      <c r="B5" s="3" t="s">
        <v>147</v>
      </c>
      <c r="C5" s="4">
        <v>140625</v>
      </c>
      <c r="D5" s="4">
        <v>8655469</v>
      </c>
      <c r="E5" s="23">
        <v>8.5999999999999993E-2</v>
      </c>
    </row>
    <row r="6" spans="1:10" ht="15.95" customHeight="1" x14ac:dyDescent="0.25">
      <c r="A6" s="7" t="s">
        <v>142</v>
      </c>
      <c r="B6" s="8" t="s">
        <v>143</v>
      </c>
      <c r="C6" s="9">
        <v>72000</v>
      </c>
      <c r="D6" s="9">
        <v>8481600</v>
      </c>
      <c r="E6" s="26">
        <v>8.4199999999999997E-2</v>
      </c>
    </row>
    <row r="7" spans="1:10" ht="15.95" customHeight="1" x14ac:dyDescent="0.25">
      <c r="A7" s="2" t="s">
        <v>202</v>
      </c>
      <c r="B7" s="3" t="s">
        <v>203</v>
      </c>
      <c r="C7" s="4">
        <v>490000</v>
      </c>
      <c r="D7" s="4">
        <v>8222200</v>
      </c>
      <c r="E7" s="23">
        <v>8.1699999999999995E-2</v>
      </c>
    </row>
    <row r="8" spans="1:10" ht="15.95" customHeight="1" x14ac:dyDescent="0.25">
      <c r="A8" s="7" t="s">
        <v>96</v>
      </c>
      <c r="B8" s="8" t="s">
        <v>97</v>
      </c>
      <c r="C8" s="9">
        <v>39473</v>
      </c>
      <c r="D8" s="9">
        <v>4993335</v>
      </c>
      <c r="E8" s="26">
        <v>4.9599999999999998E-2</v>
      </c>
    </row>
    <row r="9" spans="1:10" ht="15.95" customHeight="1" x14ac:dyDescent="0.25">
      <c r="A9" s="2" t="s">
        <v>84</v>
      </c>
      <c r="B9" s="3" t="s">
        <v>85</v>
      </c>
      <c r="C9" s="4">
        <v>132950</v>
      </c>
      <c r="D9" s="4">
        <v>4390009</v>
      </c>
      <c r="E9" s="23">
        <v>4.36E-2</v>
      </c>
    </row>
    <row r="10" spans="1:10" ht="15.95" customHeight="1" x14ac:dyDescent="0.25">
      <c r="A10" s="7" t="s">
        <v>80</v>
      </c>
      <c r="B10" s="8" t="s">
        <v>81</v>
      </c>
      <c r="C10" s="9">
        <v>5650</v>
      </c>
      <c r="D10" s="9">
        <v>3404125</v>
      </c>
      <c r="E10" s="26">
        <v>3.3799999999999997E-2</v>
      </c>
    </row>
    <row r="11" spans="1:10" ht="15.95" customHeight="1" x14ac:dyDescent="0.25">
      <c r="A11" s="2" t="s">
        <v>88</v>
      </c>
      <c r="B11" s="3" t="s">
        <v>89</v>
      </c>
      <c r="C11" s="4">
        <v>7780</v>
      </c>
      <c r="D11" s="4">
        <v>3310390</v>
      </c>
      <c r="E11" s="23">
        <v>3.2899999999999999E-2</v>
      </c>
    </row>
    <row r="12" spans="1:10" ht="15.95" customHeight="1" x14ac:dyDescent="0.25">
      <c r="A12" s="7" t="s">
        <v>82</v>
      </c>
      <c r="B12" s="8" t="s">
        <v>83</v>
      </c>
      <c r="C12" s="9">
        <v>15300</v>
      </c>
      <c r="D12" s="9">
        <v>2980440</v>
      </c>
      <c r="E12" s="26">
        <v>2.9600000000000001E-2</v>
      </c>
    </row>
    <row r="13" spans="1:10" x14ac:dyDescent="0.25">
      <c r="A13" s="21" t="s">
        <v>69</v>
      </c>
      <c r="B13" s="24"/>
      <c r="C13" s="24"/>
      <c r="D13" s="20">
        <f>SUM(D5:D12)</f>
        <v>44437568</v>
      </c>
      <c r="E13" s="25">
        <f>SUM(E5:E12)</f>
        <v>0.44139999999999996</v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10" style="30" customWidth="1"/>
    <col min="2" max="2" width="40" style="30" customWidth="1"/>
    <col min="3" max="3" width="18" style="30" customWidth="1"/>
    <col min="4" max="4" width="22" style="30" customWidth="1"/>
    <col min="5" max="5" width="14" style="30" customWidth="1"/>
  </cols>
  <sheetData>
    <row r="1" spans="1:10" ht="27.95" customHeight="1" x14ac:dyDescent="0.25">
      <c r="A1" s="54" t="s">
        <v>268</v>
      </c>
      <c r="B1" s="51"/>
      <c r="C1" s="51"/>
      <c r="D1" s="51"/>
      <c r="E1" s="51"/>
      <c r="F1" s="51"/>
      <c r="G1" s="51"/>
    </row>
    <row r="2" spans="1:10" ht="20.100000000000001" customHeight="1" x14ac:dyDescent="0.25">
      <c r="A2" s="21" t="s">
        <v>249</v>
      </c>
      <c r="B2" s="22" t="s">
        <v>40</v>
      </c>
      <c r="C2" s="21" t="s">
        <v>250</v>
      </c>
      <c r="D2" s="22" t="s">
        <v>13</v>
      </c>
      <c r="E2" s="21" t="s">
        <v>251</v>
      </c>
      <c r="F2" s="4">
        <v>1164670121.5699999</v>
      </c>
      <c r="G2" s="21" t="s">
        <v>252</v>
      </c>
      <c r="H2" s="5">
        <v>1.6714150000000001</v>
      </c>
      <c r="I2" s="21" t="s">
        <v>253</v>
      </c>
      <c r="J2" s="11">
        <v>3.7499999999999999E-2</v>
      </c>
    </row>
    <row r="3" spans="1:10" ht="6" customHeight="1" x14ac:dyDescent="0.25"/>
    <row r="4" spans="1:10" ht="30" customHeight="1" x14ac:dyDescent="0.25">
      <c r="A4" s="1" t="s">
        <v>254</v>
      </c>
      <c r="B4" s="1" t="s">
        <v>255</v>
      </c>
      <c r="C4" s="1" t="s">
        <v>256</v>
      </c>
      <c r="D4" s="1" t="s">
        <v>257</v>
      </c>
      <c r="E4" s="1" t="s">
        <v>258</v>
      </c>
    </row>
    <row r="5" spans="1:10" ht="15.95" customHeight="1" x14ac:dyDescent="0.25">
      <c r="A5" s="2" t="s">
        <v>74</v>
      </c>
      <c r="B5" s="3" t="s">
        <v>75</v>
      </c>
      <c r="C5" s="4">
        <v>450000</v>
      </c>
      <c r="D5" s="4">
        <v>116212500</v>
      </c>
      <c r="E5" s="23">
        <v>9.98E-2</v>
      </c>
    </row>
    <row r="6" spans="1:10" ht="15.95" customHeight="1" x14ac:dyDescent="0.25">
      <c r="A6" s="7" t="s">
        <v>98</v>
      </c>
      <c r="B6" s="8" t="s">
        <v>99</v>
      </c>
      <c r="C6" s="9">
        <v>900000</v>
      </c>
      <c r="D6" s="9">
        <v>80460000</v>
      </c>
      <c r="E6" s="26">
        <v>6.9099999999999995E-2</v>
      </c>
    </row>
    <row r="7" spans="1:10" ht="15.95" customHeight="1" x14ac:dyDescent="0.25">
      <c r="A7" s="2" t="s">
        <v>76</v>
      </c>
      <c r="B7" s="3" t="s">
        <v>77</v>
      </c>
      <c r="C7" s="4">
        <v>250000</v>
      </c>
      <c r="D7" s="4">
        <v>80062500</v>
      </c>
      <c r="E7" s="23">
        <v>6.8699999999999997E-2</v>
      </c>
    </row>
    <row r="8" spans="1:10" ht="15.95" customHeight="1" x14ac:dyDescent="0.25">
      <c r="A8" s="7" t="s">
        <v>78</v>
      </c>
      <c r="B8" s="8" t="s">
        <v>79</v>
      </c>
      <c r="C8" s="9">
        <v>90000</v>
      </c>
      <c r="D8" s="9">
        <v>61470000</v>
      </c>
      <c r="E8" s="26">
        <v>5.28E-2</v>
      </c>
    </row>
    <row r="9" spans="1:10" ht="15.95" customHeight="1" x14ac:dyDescent="0.25">
      <c r="A9" s="2" t="s">
        <v>80</v>
      </c>
      <c r="B9" s="3" t="s">
        <v>81</v>
      </c>
      <c r="C9" s="4">
        <v>100000</v>
      </c>
      <c r="D9" s="4">
        <v>60250000</v>
      </c>
      <c r="E9" s="23">
        <v>5.1700000000000003E-2</v>
      </c>
    </row>
    <row r="10" spans="1:10" ht="15.95" customHeight="1" x14ac:dyDescent="0.25">
      <c r="A10" s="7" t="s">
        <v>144</v>
      </c>
      <c r="B10" s="8" t="s">
        <v>145</v>
      </c>
      <c r="C10" s="9">
        <v>2500000</v>
      </c>
      <c r="D10" s="9">
        <v>53050000</v>
      </c>
      <c r="E10" s="26">
        <v>4.5499999999999999E-2</v>
      </c>
    </row>
    <row r="11" spans="1:10" ht="15.95" customHeight="1" x14ac:dyDescent="0.25">
      <c r="A11" s="2" t="s">
        <v>94</v>
      </c>
      <c r="B11" s="3" t="s">
        <v>95</v>
      </c>
      <c r="C11" s="4">
        <v>1500000</v>
      </c>
      <c r="D11" s="4">
        <v>46350000</v>
      </c>
      <c r="E11" s="23">
        <v>3.9800000000000002E-2</v>
      </c>
    </row>
    <row r="12" spans="1:10" ht="15.95" customHeight="1" x14ac:dyDescent="0.25">
      <c r="A12" s="7" t="s">
        <v>92</v>
      </c>
      <c r="B12" s="8" t="s">
        <v>93</v>
      </c>
      <c r="C12" s="9">
        <v>1500000</v>
      </c>
      <c r="D12" s="9">
        <v>42330000</v>
      </c>
      <c r="E12" s="26">
        <v>3.6400000000000002E-2</v>
      </c>
    </row>
    <row r="13" spans="1:10" ht="15.95" customHeight="1" x14ac:dyDescent="0.25">
      <c r="A13" s="2" t="s">
        <v>100</v>
      </c>
      <c r="B13" s="3" t="s">
        <v>101</v>
      </c>
      <c r="C13" s="4">
        <v>200000</v>
      </c>
      <c r="D13" s="4">
        <v>39000000</v>
      </c>
      <c r="E13" s="23">
        <v>3.3500000000000002E-2</v>
      </c>
    </row>
    <row r="14" spans="1:10" ht="15.95" customHeight="1" x14ac:dyDescent="0.25">
      <c r="A14" s="7" t="s">
        <v>82</v>
      </c>
      <c r="B14" s="8" t="s">
        <v>83</v>
      </c>
      <c r="C14" s="9">
        <v>200000</v>
      </c>
      <c r="D14" s="9">
        <v>38960000</v>
      </c>
      <c r="E14" s="26">
        <v>3.3500000000000002E-2</v>
      </c>
    </row>
    <row r="15" spans="1:10" ht="15.95" customHeight="1" x14ac:dyDescent="0.25">
      <c r="A15" s="2" t="s">
        <v>136</v>
      </c>
      <c r="B15" s="3" t="s">
        <v>137</v>
      </c>
      <c r="C15" s="4">
        <v>400000</v>
      </c>
      <c r="D15" s="4">
        <v>35360000</v>
      </c>
      <c r="E15" s="23">
        <v>3.04E-2</v>
      </c>
    </row>
    <row r="16" spans="1:10" ht="15.95" customHeight="1" x14ac:dyDescent="0.25">
      <c r="A16" s="7" t="s">
        <v>110</v>
      </c>
      <c r="B16" s="8" t="s">
        <v>111</v>
      </c>
      <c r="C16" s="9">
        <v>300000</v>
      </c>
      <c r="D16" s="9">
        <v>28035000</v>
      </c>
      <c r="E16" s="26">
        <v>2.41E-2</v>
      </c>
    </row>
    <row r="17" spans="1:5" ht="15.95" customHeight="1" x14ac:dyDescent="0.25">
      <c r="A17" s="2" t="s">
        <v>104</v>
      </c>
      <c r="B17" s="3" t="s">
        <v>105</v>
      </c>
      <c r="C17" s="4">
        <v>500000</v>
      </c>
      <c r="D17" s="4">
        <v>24350000</v>
      </c>
      <c r="E17" s="23">
        <v>2.0899999999999998E-2</v>
      </c>
    </row>
    <row r="18" spans="1:5" x14ac:dyDescent="0.25">
      <c r="A18" s="21" t="s">
        <v>69</v>
      </c>
      <c r="B18" s="24"/>
      <c r="C18" s="24"/>
      <c r="D18" s="20">
        <f>SUM(D5:D17)</f>
        <v>705890000</v>
      </c>
      <c r="E18" s="25">
        <f>SUM(E5:E17)</f>
        <v>0.60619999999999996</v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10" style="30" customWidth="1"/>
    <col min="2" max="2" width="40" style="30" customWidth="1"/>
    <col min="3" max="3" width="18" style="30" customWidth="1"/>
    <col min="4" max="4" width="22" style="30" customWidth="1"/>
    <col min="5" max="5" width="14" style="30" customWidth="1"/>
  </cols>
  <sheetData>
    <row r="1" spans="1:10" ht="27.95" customHeight="1" x14ac:dyDescent="0.25">
      <c r="A1" s="54" t="s">
        <v>269</v>
      </c>
      <c r="B1" s="51"/>
      <c r="C1" s="51"/>
      <c r="D1" s="51"/>
      <c r="E1" s="51"/>
      <c r="F1" s="51"/>
      <c r="G1" s="51"/>
    </row>
    <row r="2" spans="1:10" ht="20.100000000000001" customHeight="1" x14ac:dyDescent="0.25">
      <c r="A2" s="21" t="s">
        <v>249</v>
      </c>
      <c r="B2" s="22" t="s">
        <v>43</v>
      </c>
      <c r="C2" s="21" t="s">
        <v>250</v>
      </c>
      <c r="D2" s="22" t="s">
        <v>13</v>
      </c>
      <c r="E2" s="21" t="s">
        <v>251</v>
      </c>
      <c r="F2" s="4">
        <v>20874300023.599998</v>
      </c>
      <c r="G2" s="21" t="s">
        <v>252</v>
      </c>
      <c r="H2" s="5">
        <v>2.2725659999999999</v>
      </c>
      <c r="I2" s="21" t="s">
        <v>253</v>
      </c>
      <c r="J2" s="6">
        <v>-0.1283</v>
      </c>
    </row>
    <row r="3" spans="1:10" ht="6" customHeight="1" x14ac:dyDescent="0.25"/>
    <row r="4" spans="1:10" ht="30" customHeight="1" x14ac:dyDescent="0.25">
      <c r="A4" s="1" t="s">
        <v>254</v>
      </c>
      <c r="B4" s="1" t="s">
        <v>255</v>
      </c>
      <c r="C4" s="1" t="s">
        <v>256</v>
      </c>
      <c r="D4" s="1" t="s">
        <v>257</v>
      </c>
      <c r="E4" s="1" t="s">
        <v>258</v>
      </c>
    </row>
    <row r="5" spans="1:10" ht="15.95" customHeight="1" x14ac:dyDescent="0.25">
      <c r="A5" s="2" t="s">
        <v>90</v>
      </c>
      <c r="B5" s="3" t="s">
        <v>91</v>
      </c>
      <c r="C5" s="4">
        <v>3662899</v>
      </c>
      <c r="D5" s="4">
        <v>1077808031</v>
      </c>
      <c r="E5" s="23">
        <v>5.16E-2</v>
      </c>
    </row>
    <row r="6" spans="1:10" ht="15.95" customHeight="1" x14ac:dyDescent="0.25">
      <c r="A6" s="7" t="s">
        <v>102</v>
      </c>
      <c r="B6" s="8" t="s">
        <v>103</v>
      </c>
      <c r="C6" s="9">
        <v>7336984</v>
      </c>
      <c r="D6" s="9">
        <v>776986606</v>
      </c>
      <c r="E6" s="26">
        <v>3.7199999999999997E-2</v>
      </c>
    </row>
    <row r="7" spans="1:10" ht="15.95" customHeight="1" x14ac:dyDescent="0.25">
      <c r="A7" s="2" t="s">
        <v>80</v>
      </c>
      <c r="B7" s="3" t="s">
        <v>81</v>
      </c>
      <c r="C7" s="4">
        <v>1225545</v>
      </c>
      <c r="D7" s="4">
        <v>738390863</v>
      </c>
      <c r="E7" s="23">
        <v>3.5400000000000001E-2</v>
      </c>
    </row>
    <row r="8" spans="1:10" ht="15.95" customHeight="1" x14ac:dyDescent="0.25">
      <c r="A8" s="7" t="s">
        <v>98</v>
      </c>
      <c r="B8" s="8" t="s">
        <v>99</v>
      </c>
      <c r="C8" s="9">
        <v>4847367</v>
      </c>
      <c r="D8" s="9">
        <v>433354610</v>
      </c>
      <c r="E8" s="26">
        <v>2.0799999999999999E-2</v>
      </c>
    </row>
    <row r="9" spans="1:10" ht="15.95" customHeight="1" x14ac:dyDescent="0.25">
      <c r="A9" s="2" t="s">
        <v>114</v>
      </c>
      <c r="B9" s="3" t="s">
        <v>115</v>
      </c>
      <c r="C9" s="4">
        <v>32329009</v>
      </c>
      <c r="D9" s="4">
        <v>425773049</v>
      </c>
      <c r="E9" s="23">
        <v>2.0400000000000001E-2</v>
      </c>
    </row>
    <row r="10" spans="1:10" ht="15.95" customHeight="1" x14ac:dyDescent="0.25">
      <c r="A10" s="7" t="s">
        <v>82</v>
      </c>
      <c r="B10" s="8" t="s">
        <v>83</v>
      </c>
      <c r="C10" s="9">
        <v>2116296</v>
      </c>
      <c r="D10" s="9">
        <v>412254461</v>
      </c>
      <c r="E10" s="26">
        <v>1.9699999999999999E-2</v>
      </c>
    </row>
    <row r="11" spans="1:10" ht="15.95" customHeight="1" x14ac:dyDescent="0.25">
      <c r="A11" s="2" t="s">
        <v>86</v>
      </c>
      <c r="B11" s="3" t="s">
        <v>87</v>
      </c>
      <c r="C11" s="4">
        <v>6036011</v>
      </c>
      <c r="D11" s="4">
        <v>398376726</v>
      </c>
      <c r="E11" s="23">
        <v>1.9099999999999999E-2</v>
      </c>
    </row>
    <row r="12" spans="1:10" ht="15.95" customHeight="1" x14ac:dyDescent="0.25">
      <c r="A12" s="7" t="s">
        <v>84</v>
      </c>
      <c r="B12" s="8" t="s">
        <v>85</v>
      </c>
      <c r="C12" s="9">
        <v>3843540</v>
      </c>
      <c r="D12" s="9">
        <v>126913691</v>
      </c>
      <c r="E12" s="26">
        <v>6.1000000000000004E-3</v>
      </c>
    </row>
    <row r="13" spans="1:10" x14ac:dyDescent="0.25">
      <c r="A13" s="21" t="s">
        <v>69</v>
      </c>
      <c r="B13" s="24"/>
      <c r="C13" s="24"/>
      <c r="D13" s="20">
        <f>SUM(D5:D12)</f>
        <v>4389858037</v>
      </c>
      <c r="E13" s="25">
        <f>SUM(E5:E12)</f>
        <v>0.21029999999999999</v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10" style="30" customWidth="1"/>
    <col min="2" max="2" width="40" style="30" customWidth="1"/>
    <col min="3" max="3" width="18" style="30" customWidth="1"/>
    <col min="4" max="4" width="22" style="30" customWidth="1"/>
    <col min="5" max="5" width="14" style="30" customWidth="1"/>
  </cols>
  <sheetData>
    <row r="1" spans="1:10" ht="27.95" customHeight="1" x14ac:dyDescent="0.25">
      <c r="A1" s="54" t="s">
        <v>270</v>
      </c>
      <c r="B1" s="51"/>
      <c r="C1" s="51"/>
      <c r="D1" s="51"/>
      <c r="E1" s="51"/>
      <c r="F1" s="51"/>
      <c r="G1" s="51"/>
    </row>
    <row r="2" spans="1:10" ht="20.100000000000001" customHeight="1" x14ac:dyDescent="0.25">
      <c r="A2" s="21" t="s">
        <v>249</v>
      </c>
      <c r="B2" s="22" t="s">
        <v>40</v>
      </c>
      <c r="C2" s="21" t="s">
        <v>250</v>
      </c>
      <c r="D2" s="22" t="s">
        <v>13</v>
      </c>
      <c r="E2" s="21" t="s">
        <v>251</v>
      </c>
      <c r="F2" s="4">
        <v>1228525001.76</v>
      </c>
      <c r="G2" s="21" t="s">
        <v>252</v>
      </c>
      <c r="H2" s="5">
        <v>1417.775054</v>
      </c>
      <c r="I2" s="21" t="s">
        <v>253</v>
      </c>
      <c r="J2" s="11">
        <v>7.6200000000000004E-2</v>
      </c>
    </row>
    <row r="3" spans="1:10" ht="6" customHeight="1" x14ac:dyDescent="0.25"/>
    <row r="4" spans="1:10" ht="30" customHeight="1" x14ac:dyDescent="0.25">
      <c r="A4" s="1" t="s">
        <v>254</v>
      </c>
      <c r="B4" s="1" t="s">
        <v>255</v>
      </c>
      <c r="C4" s="1" t="s">
        <v>256</v>
      </c>
      <c r="D4" s="1" t="s">
        <v>257</v>
      </c>
      <c r="E4" s="1" t="s">
        <v>258</v>
      </c>
    </row>
    <row r="5" spans="1:10" ht="15.95" customHeight="1" x14ac:dyDescent="0.25">
      <c r="A5" s="2" t="s">
        <v>78</v>
      </c>
      <c r="B5" s="3" t="s">
        <v>79</v>
      </c>
      <c r="C5" s="4">
        <v>150000</v>
      </c>
      <c r="D5" s="4">
        <v>102450000</v>
      </c>
      <c r="E5" s="23">
        <v>8.3400000000000002E-2</v>
      </c>
    </row>
    <row r="6" spans="1:10" ht="15.95" customHeight="1" x14ac:dyDescent="0.25">
      <c r="A6" s="7" t="s">
        <v>100</v>
      </c>
      <c r="B6" s="8" t="s">
        <v>101</v>
      </c>
      <c r="C6" s="9">
        <v>500000</v>
      </c>
      <c r="D6" s="9">
        <v>97500000</v>
      </c>
      <c r="E6" s="26">
        <v>7.9399999999999998E-2</v>
      </c>
    </row>
    <row r="7" spans="1:10" ht="15.95" customHeight="1" x14ac:dyDescent="0.25">
      <c r="A7" s="2" t="s">
        <v>74</v>
      </c>
      <c r="B7" s="3" t="s">
        <v>75</v>
      </c>
      <c r="C7" s="4">
        <v>320000</v>
      </c>
      <c r="D7" s="4">
        <v>82640000</v>
      </c>
      <c r="E7" s="23">
        <v>6.7299999999999999E-2</v>
      </c>
    </row>
    <row r="8" spans="1:10" ht="15.95" customHeight="1" x14ac:dyDescent="0.25">
      <c r="A8" s="7" t="s">
        <v>76</v>
      </c>
      <c r="B8" s="8" t="s">
        <v>77</v>
      </c>
      <c r="C8" s="9">
        <v>250000</v>
      </c>
      <c r="D8" s="9">
        <v>80062500</v>
      </c>
      <c r="E8" s="26">
        <v>6.5199999999999994E-2</v>
      </c>
    </row>
    <row r="9" spans="1:10" ht="15.95" customHeight="1" x14ac:dyDescent="0.25">
      <c r="A9" s="2" t="s">
        <v>144</v>
      </c>
      <c r="B9" s="3" t="s">
        <v>145</v>
      </c>
      <c r="C9" s="4">
        <v>3750000</v>
      </c>
      <c r="D9" s="4">
        <v>79575000</v>
      </c>
      <c r="E9" s="23">
        <v>6.480000000000001E-2</v>
      </c>
    </row>
    <row r="10" spans="1:10" ht="15.95" customHeight="1" x14ac:dyDescent="0.25">
      <c r="A10" s="7" t="s">
        <v>94</v>
      </c>
      <c r="B10" s="8" t="s">
        <v>95</v>
      </c>
      <c r="C10" s="9">
        <v>2000000</v>
      </c>
      <c r="D10" s="9">
        <v>61800000</v>
      </c>
      <c r="E10" s="26">
        <v>5.0299999999999997E-2</v>
      </c>
    </row>
    <row r="11" spans="1:10" ht="15.95" customHeight="1" x14ac:dyDescent="0.25">
      <c r="A11" s="2" t="s">
        <v>80</v>
      </c>
      <c r="B11" s="3" t="s">
        <v>81</v>
      </c>
      <c r="C11" s="4">
        <v>100000</v>
      </c>
      <c r="D11" s="4">
        <v>60250000</v>
      </c>
      <c r="E11" s="23">
        <v>4.9000000000000002E-2</v>
      </c>
    </row>
    <row r="12" spans="1:10" ht="15.95" customHeight="1" x14ac:dyDescent="0.25">
      <c r="A12" s="7" t="s">
        <v>118</v>
      </c>
      <c r="B12" s="8" t="s">
        <v>119</v>
      </c>
      <c r="C12" s="9">
        <v>190000</v>
      </c>
      <c r="D12" s="9">
        <v>58472500</v>
      </c>
      <c r="E12" s="26">
        <v>4.7600000000000003E-2</v>
      </c>
    </row>
    <row r="13" spans="1:10" ht="15.95" customHeight="1" x14ac:dyDescent="0.25">
      <c r="A13" s="2" t="s">
        <v>88</v>
      </c>
      <c r="B13" s="3" t="s">
        <v>89</v>
      </c>
      <c r="C13" s="4">
        <v>130000</v>
      </c>
      <c r="D13" s="4">
        <v>55315000</v>
      </c>
      <c r="E13" s="23">
        <v>4.4999999999999998E-2</v>
      </c>
    </row>
    <row r="14" spans="1:10" ht="15.95" customHeight="1" x14ac:dyDescent="0.25">
      <c r="A14" s="7" t="s">
        <v>92</v>
      </c>
      <c r="B14" s="8" t="s">
        <v>93</v>
      </c>
      <c r="C14" s="9">
        <v>1000000</v>
      </c>
      <c r="D14" s="9">
        <v>28220000</v>
      </c>
      <c r="E14" s="26">
        <v>2.3E-2</v>
      </c>
    </row>
    <row r="15" spans="1:10" ht="15.95" customHeight="1" x14ac:dyDescent="0.25">
      <c r="A15" s="2" t="s">
        <v>136</v>
      </c>
      <c r="B15" s="3" t="s">
        <v>137</v>
      </c>
      <c r="C15" s="4">
        <v>300000</v>
      </c>
      <c r="D15" s="4">
        <v>26520000</v>
      </c>
      <c r="E15" s="23">
        <v>2.1600000000000001E-2</v>
      </c>
    </row>
    <row r="16" spans="1:10" x14ac:dyDescent="0.25">
      <c r="A16" s="21" t="s">
        <v>69</v>
      </c>
      <c r="B16" s="24"/>
      <c r="C16" s="24"/>
      <c r="D16" s="20">
        <f>SUM(D5:D15)</f>
        <v>732805000</v>
      </c>
      <c r="E16" s="25">
        <f>SUM(E5:E15)</f>
        <v>0.59660000000000002</v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10" style="30" customWidth="1"/>
    <col min="2" max="2" width="40" style="30" customWidth="1"/>
    <col min="3" max="3" width="18" style="30" customWidth="1"/>
    <col min="4" max="4" width="22" style="30" customWidth="1"/>
    <col min="5" max="5" width="14" style="30" customWidth="1"/>
  </cols>
  <sheetData>
    <row r="1" spans="1:10" ht="27.95" customHeight="1" x14ac:dyDescent="0.25">
      <c r="A1" s="54" t="s">
        <v>271</v>
      </c>
      <c r="B1" s="51"/>
      <c r="C1" s="51"/>
      <c r="D1" s="51"/>
      <c r="E1" s="51"/>
      <c r="F1" s="51"/>
      <c r="G1" s="51"/>
    </row>
    <row r="2" spans="1:10" ht="20.100000000000001" customHeight="1" x14ac:dyDescent="0.25">
      <c r="A2" s="21" t="s">
        <v>249</v>
      </c>
      <c r="B2" s="22" t="s">
        <v>48</v>
      </c>
      <c r="C2" s="21" t="s">
        <v>250</v>
      </c>
      <c r="D2" s="22" t="s">
        <v>13</v>
      </c>
      <c r="E2" s="21" t="s">
        <v>251</v>
      </c>
      <c r="F2" s="4">
        <v>88211135.659999996</v>
      </c>
      <c r="G2" s="21" t="s">
        <v>252</v>
      </c>
      <c r="H2" s="5">
        <v>1.433457</v>
      </c>
      <c r="I2" s="21" t="s">
        <v>253</v>
      </c>
      <c r="J2" s="11">
        <v>6.0599999999999987E-2</v>
      </c>
    </row>
    <row r="3" spans="1:10" ht="6" customHeight="1" x14ac:dyDescent="0.25"/>
    <row r="4" spans="1:10" ht="30" customHeight="1" x14ac:dyDescent="0.25">
      <c r="A4" s="1" t="s">
        <v>254</v>
      </c>
      <c r="B4" s="1" t="s">
        <v>255</v>
      </c>
      <c r="C4" s="1" t="s">
        <v>256</v>
      </c>
      <c r="D4" s="1" t="s">
        <v>257</v>
      </c>
      <c r="E4" s="1" t="s">
        <v>258</v>
      </c>
    </row>
    <row r="5" spans="1:10" ht="15.95" customHeight="1" x14ac:dyDescent="0.25">
      <c r="A5" s="2" t="s">
        <v>78</v>
      </c>
      <c r="B5" s="3" t="s">
        <v>79</v>
      </c>
      <c r="C5" s="4">
        <v>11650</v>
      </c>
      <c r="D5" s="4">
        <v>7956950</v>
      </c>
      <c r="E5" s="23">
        <v>9.0200000000000002E-2</v>
      </c>
    </row>
    <row r="6" spans="1:10" ht="15.95" customHeight="1" x14ac:dyDescent="0.25">
      <c r="A6" s="7" t="s">
        <v>76</v>
      </c>
      <c r="B6" s="8" t="s">
        <v>77</v>
      </c>
      <c r="C6" s="9">
        <v>24000</v>
      </c>
      <c r="D6" s="9">
        <v>7686000</v>
      </c>
      <c r="E6" s="26">
        <v>8.7100000000000011E-2</v>
      </c>
    </row>
    <row r="7" spans="1:10" ht="15.95" customHeight="1" x14ac:dyDescent="0.25">
      <c r="A7" s="2" t="s">
        <v>86</v>
      </c>
      <c r="B7" s="3" t="s">
        <v>87</v>
      </c>
      <c r="C7" s="4">
        <v>84000</v>
      </c>
      <c r="D7" s="4">
        <v>5544000</v>
      </c>
      <c r="E7" s="23">
        <v>6.2899999999999998E-2</v>
      </c>
    </row>
    <row r="8" spans="1:10" ht="15.95" customHeight="1" x14ac:dyDescent="0.25">
      <c r="A8" s="7" t="s">
        <v>90</v>
      </c>
      <c r="B8" s="8" t="s">
        <v>91</v>
      </c>
      <c r="C8" s="9">
        <v>14000</v>
      </c>
      <c r="D8" s="9">
        <v>4119500</v>
      </c>
      <c r="E8" s="26">
        <v>4.6699999999999998E-2</v>
      </c>
    </row>
    <row r="9" spans="1:10" ht="15.95" customHeight="1" x14ac:dyDescent="0.25">
      <c r="A9" s="2" t="s">
        <v>102</v>
      </c>
      <c r="B9" s="3" t="s">
        <v>103</v>
      </c>
      <c r="C9" s="4">
        <v>38000</v>
      </c>
      <c r="D9" s="4">
        <v>4024200</v>
      </c>
      <c r="E9" s="23">
        <v>4.5599999999999988E-2</v>
      </c>
    </row>
    <row r="10" spans="1:10" ht="15.95" customHeight="1" x14ac:dyDescent="0.25">
      <c r="A10" s="7" t="s">
        <v>96</v>
      </c>
      <c r="B10" s="8" t="s">
        <v>97</v>
      </c>
      <c r="C10" s="9">
        <v>31000</v>
      </c>
      <c r="D10" s="9">
        <v>3921500</v>
      </c>
      <c r="E10" s="26">
        <v>4.4499999999999998E-2</v>
      </c>
    </row>
    <row r="11" spans="1:10" ht="15.95" customHeight="1" x14ac:dyDescent="0.25">
      <c r="A11" s="2" t="s">
        <v>82</v>
      </c>
      <c r="B11" s="3" t="s">
        <v>83</v>
      </c>
      <c r="C11" s="4">
        <v>20000</v>
      </c>
      <c r="D11" s="4">
        <v>3896000</v>
      </c>
      <c r="E11" s="23">
        <v>4.4200000000000003E-2</v>
      </c>
    </row>
    <row r="12" spans="1:10" ht="15.95" customHeight="1" x14ac:dyDescent="0.25">
      <c r="A12" s="7" t="s">
        <v>88</v>
      </c>
      <c r="B12" s="8" t="s">
        <v>89</v>
      </c>
      <c r="C12" s="9">
        <v>9000</v>
      </c>
      <c r="D12" s="9">
        <v>3829500</v>
      </c>
      <c r="E12" s="26">
        <v>4.3400000000000001E-2</v>
      </c>
    </row>
    <row r="13" spans="1:10" ht="15.95" customHeight="1" x14ac:dyDescent="0.25">
      <c r="A13" s="2" t="s">
        <v>100</v>
      </c>
      <c r="B13" s="3" t="s">
        <v>101</v>
      </c>
      <c r="C13" s="4">
        <v>19000</v>
      </c>
      <c r="D13" s="4">
        <v>3705000</v>
      </c>
      <c r="E13" s="23">
        <v>4.2000000000000003E-2</v>
      </c>
    </row>
    <row r="14" spans="1:10" ht="15.95" customHeight="1" x14ac:dyDescent="0.25">
      <c r="A14" s="7" t="s">
        <v>98</v>
      </c>
      <c r="B14" s="8" t="s">
        <v>99</v>
      </c>
      <c r="C14" s="9">
        <v>41000</v>
      </c>
      <c r="D14" s="9">
        <v>3665400</v>
      </c>
      <c r="E14" s="26">
        <v>4.1500000000000002E-2</v>
      </c>
    </row>
    <row r="15" spans="1:10" ht="15.95" customHeight="1" x14ac:dyDescent="0.25">
      <c r="A15" s="2" t="s">
        <v>74</v>
      </c>
      <c r="B15" s="3" t="s">
        <v>75</v>
      </c>
      <c r="C15" s="4">
        <v>14000</v>
      </c>
      <c r="D15" s="4">
        <v>3615500</v>
      </c>
      <c r="E15" s="23">
        <v>4.0999999999999988E-2</v>
      </c>
    </row>
    <row r="16" spans="1:10" ht="15.95" customHeight="1" x14ac:dyDescent="0.25">
      <c r="A16" s="7" t="s">
        <v>92</v>
      </c>
      <c r="B16" s="8" t="s">
        <v>93</v>
      </c>
      <c r="C16" s="9">
        <v>120000</v>
      </c>
      <c r="D16" s="9">
        <v>3386400</v>
      </c>
      <c r="E16" s="26">
        <v>3.8399999999999997E-2</v>
      </c>
    </row>
    <row r="17" spans="1:5" ht="15.95" customHeight="1" x14ac:dyDescent="0.25">
      <c r="A17" s="2" t="s">
        <v>84</v>
      </c>
      <c r="B17" s="3" t="s">
        <v>85</v>
      </c>
      <c r="C17" s="4">
        <v>93000</v>
      </c>
      <c r="D17" s="4">
        <v>3070860</v>
      </c>
      <c r="E17" s="23">
        <v>3.4799999999999998E-2</v>
      </c>
    </row>
    <row r="18" spans="1:5" ht="15.95" customHeight="1" x14ac:dyDescent="0.25">
      <c r="A18" s="7" t="s">
        <v>80</v>
      </c>
      <c r="B18" s="8" t="s">
        <v>81</v>
      </c>
      <c r="C18" s="9">
        <v>4000</v>
      </c>
      <c r="D18" s="9">
        <v>2410000</v>
      </c>
      <c r="E18" s="26">
        <v>2.7300000000000001E-2</v>
      </c>
    </row>
    <row r="19" spans="1:5" x14ac:dyDescent="0.25">
      <c r="A19" s="21" t="s">
        <v>69</v>
      </c>
      <c r="B19" s="24"/>
      <c r="C19" s="24"/>
      <c r="D19" s="20">
        <f>SUM(D5:D18)</f>
        <v>60830810</v>
      </c>
      <c r="E19" s="25">
        <f>SUM(E5:E18)</f>
        <v>0.6896000000000001</v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10" style="30" customWidth="1"/>
    <col min="2" max="2" width="40" style="30" customWidth="1"/>
    <col min="3" max="3" width="18" style="30" customWidth="1"/>
    <col min="4" max="4" width="22" style="30" customWidth="1"/>
    <col min="5" max="5" width="14" style="30" customWidth="1"/>
  </cols>
  <sheetData>
    <row r="1" spans="1:10" ht="27.95" customHeight="1" x14ac:dyDescent="0.25">
      <c r="A1" s="54" t="s">
        <v>272</v>
      </c>
      <c r="B1" s="51"/>
      <c r="C1" s="51"/>
      <c r="D1" s="51"/>
      <c r="E1" s="51"/>
      <c r="F1" s="51"/>
      <c r="G1" s="51"/>
    </row>
    <row r="2" spans="1:10" ht="20.100000000000001" customHeight="1" x14ac:dyDescent="0.25">
      <c r="A2" s="21" t="s">
        <v>249</v>
      </c>
      <c r="B2" s="22" t="s">
        <v>34</v>
      </c>
      <c r="C2" s="21" t="s">
        <v>250</v>
      </c>
      <c r="D2" s="22" t="s">
        <v>13</v>
      </c>
      <c r="E2" s="21" t="s">
        <v>251</v>
      </c>
      <c r="F2" s="4">
        <v>114746135</v>
      </c>
      <c r="G2" s="21" t="s">
        <v>252</v>
      </c>
      <c r="H2" s="5">
        <v>3.6192820000000001</v>
      </c>
      <c r="I2" s="21" t="s">
        <v>253</v>
      </c>
      <c r="J2" s="11">
        <v>9.8999999999999991E-3</v>
      </c>
    </row>
    <row r="3" spans="1:10" ht="6" customHeight="1" x14ac:dyDescent="0.25"/>
    <row r="4" spans="1:10" ht="30" customHeight="1" x14ac:dyDescent="0.25">
      <c r="A4" s="1" t="s">
        <v>254</v>
      </c>
      <c r="B4" s="1" t="s">
        <v>255</v>
      </c>
      <c r="C4" s="1" t="s">
        <v>256</v>
      </c>
      <c r="D4" s="1" t="s">
        <v>257</v>
      </c>
      <c r="E4" s="1" t="s">
        <v>258</v>
      </c>
    </row>
    <row r="5" spans="1:10" ht="15.95" customHeight="1" x14ac:dyDescent="0.25">
      <c r="A5" s="2" t="s">
        <v>78</v>
      </c>
      <c r="B5" s="3" t="s">
        <v>79</v>
      </c>
      <c r="C5" s="4">
        <v>13400</v>
      </c>
      <c r="D5" s="4">
        <v>9152200</v>
      </c>
      <c r="E5" s="23">
        <v>7.980000000000001E-2</v>
      </c>
    </row>
    <row r="6" spans="1:10" ht="15.95" customHeight="1" x14ac:dyDescent="0.25">
      <c r="A6" s="7" t="s">
        <v>76</v>
      </c>
      <c r="B6" s="8" t="s">
        <v>77</v>
      </c>
      <c r="C6" s="9">
        <v>26050</v>
      </c>
      <c r="D6" s="9">
        <v>8342513</v>
      </c>
      <c r="E6" s="26">
        <v>7.2700000000000001E-2</v>
      </c>
    </row>
    <row r="7" spans="1:10" ht="15.95" customHeight="1" x14ac:dyDescent="0.25">
      <c r="A7" s="2" t="s">
        <v>102</v>
      </c>
      <c r="B7" s="3" t="s">
        <v>103</v>
      </c>
      <c r="C7" s="4">
        <v>73000</v>
      </c>
      <c r="D7" s="4">
        <v>7730700</v>
      </c>
      <c r="E7" s="23">
        <v>6.7400000000000002E-2</v>
      </c>
    </row>
    <row r="8" spans="1:10" ht="15.95" customHeight="1" x14ac:dyDescent="0.25">
      <c r="A8" s="7" t="s">
        <v>108</v>
      </c>
      <c r="B8" s="8" t="s">
        <v>109</v>
      </c>
      <c r="C8" s="9">
        <v>38401</v>
      </c>
      <c r="D8" s="9">
        <v>4396915</v>
      </c>
      <c r="E8" s="26">
        <v>3.8300000000000001E-2</v>
      </c>
    </row>
    <row r="9" spans="1:10" ht="15.95" customHeight="1" x14ac:dyDescent="0.25">
      <c r="A9" s="2" t="s">
        <v>80</v>
      </c>
      <c r="B9" s="3" t="s">
        <v>81</v>
      </c>
      <c r="C9" s="4">
        <v>6000</v>
      </c>
      <c r="D9" s="4">
        <v>3615000</v>
      </c>
      <c r="E9" s="23">
        <v>3.15E-2</v>
      </c>
    </row>
    <row r="10" spans="1:10" ht="15.95" customHeight="1" x14ac:dyDescent="0.25">
      <c r="A10" s="7" t="s">
        <v>100</v>
      </c>
      <c r="B10" s="8" t="s">
        <v>101</v>
      </c>
      <c r="C10" s="9">
        <v>18200</v>
      </c>
      <c r="D10" s="9">
        <v>3549000</v>
      </c>
      <c r="E10" s="26">
        <v>3.09E-2</v>
      </c>
    </row>
    <row r="11" spans="1:10" ht="15.95" customHeight="1" x14ac:dyDescent="0.25">
      <c r="A11" s="2" t="s">
        <v>82</v>
      </c>
      <c r="B11" s="3" t="s">
        <v>83</v>
      </c>
      <c r="C11" s="4">
        <v>15000</v>
      </c>
      <c r="D11" s="4">
        <v>2922000</v>
      </c>
      <c r="E11" s="23">
        <v>2.5499999999999998E-2</v>
      </c>
    </row>
    <row r="12" spans="1:10" ht="15.95" customHeight="1" x14ac:dyDescent="0.25">
      <c r="A12" s="7" t="s">
        <v>104</v>
      </c>
      <c r="B12" s="8" t="s">
        <v>105</v>
      </c>
      <c r="C12" s="9">
        <v>60000</v>
      </c>
      <c r="D12" s="9">
        <v>2922000</v>
      </c>
      <c r="E12" s="26">
        <v>2.5499999999999998E-2</v>
      </c>
    </row>
    <row r="13" spans="1:10" ht="15.95" customHeight="1" x14ac:dyDescent="0.25">
      <c r="A13" s="2" t="s">
        <v>74</v>
      </c>
      <c r="B13" s="3" t="s">
        <v>75</v>
      </c>
      <c r="C13" s="4">
        <v>10490</v>
      </c>
      <c r="D13" s="4">
        <v>2709043</v>
      </c>
      <c r="E13" s="23">
        <v>2.3599999999999999E-2</v>
      </c>
    </row>
    <row r="14" spans="1:10" ht="15.95" customHeight="1" x14ac:dyDescent="0.25">
      <c r="A14" s="7" t="s">
        <v>86</v>
      </c>
      <c r="B14" s="8" t="s">
        <v>87</v>
      </c>
      <c r="C14" s="9">
        <v>35500</v>
      </c>
      <c r="D14" s="9">
        <v>2343000</v>
      </c>
      <c r="E14" s="26">
        <v>2.0400000000000001E-2</v>
      </c>
    </row>
    <row r="15" spans="1:10" ht="15.95" customHeight="1" x14ac:dyDescent="0.25">
      <c r="A15" s="2" t="s">
        <v>84</v>
      </c>
      <c r="B15" s="3" t="s">
        <v>85</v>
      </c>
      <c r="C15" s="4">
        <v>70000</v>
      </c>
      <c r="D15" s="4">
        <v>2311400</v>
      </c>
      <c r="E15" s="23">
        <v>2.01E-2</v>
      </c>
    </row>
    <row r="16" spans="1:10" ht="15.95" customHeight="1" x14ac:dyDescent="0.25">
      <c r="A16" s="7" t="s">
        <v>110</v>
      </c>
      <c r="B16" s="8" t="s">
        <v>111</v>
      </c>
      <c r="C16" s="9">
        <v>23100</v>
      </c>
      <c r="D16" s="9">
        <v>2158695</v>
      </c>
      <c r="E16" s="26">
        <v>1.8800000000000001E-2</v>
      </c>
    </row>
    <row r="17" spans="1:5" ht="15.95" customHeight="1" x14ac:dyDescent="0.25">
      <c r="A17" s="2" t="s">
        <v>88</v>
      </c>
      <c r="B17" s="3" t="s">
        <v>89</v>
      </c>
      <c r="C17" s="4">
        <v>5000</v>
      </c>
      <c r="D17" s="4">
        <v>2127500</v>
      </c>
      <c r="E17" s="23">
        <v>1.8499999999999999E-2</v>
      </c>
    </row>
    <row r="18" spans="1:5" x14ac:dyDescent="0.25">
      <c r="A18" s="21" t="s">
        <v>69</v>
      </c>
      <c r="B18" s="24"/>
      <c r="C18" s="24"/>
      <c r="D18" s="20">
        <f>SUM(D5:D17)</f>
        <v>54279966</v>
      </c>
      <c r="E18" s="25">
        <f>SUM(E5:E17)</f>
        <v>0.47300000000000009</v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10" style="30" customWidth="1"/>
    <col min="2" max="2" width="40" style="30" customWidth="1"/>
    <col min="3" max="3" width="18" style="30" customWidth="1"/>
    <col min="4" max="4" width="22" style="30" customWidth="1"/>
    <col min="5" max="5" width="14" style="30" customWidth="1"/>
  </cols>
  <sheetData>
    <row r="1" spans="1:10" ht="27.95" customHeight="1" x14ac:dyDescent="0.25">
      <c r="A1" s="55" t="s">
        <v>273</v>
      </c>
      <c r="B1" s="51"/>
      <c r="C1" s="51"/>
      <c r="D1" s="51"/>
      <c r="E1" s="51"/>
      <c r="F1" s="51"/>
      <c r="G1" s="51"/>
    </row>
    <row r="2" spans="1:10" ht="20.100000000000001" customHeight="1" x14ac:dyDescent="0.25">
      <c r="A2" s="21" t="s">
        <v>249</v>
      </c>
      <c r="B2" s="22" t="s">
        <v>53</v>
      </c>
      <c r="C2" s="21" t="s">
        <v>250</v>
      </c>
      <c r="D2" s="22" t="s">
        <v>54</v>
      </c>
      <c r="E2" s="21" t="s">
        <v>251</v>
      </c>
      <c r="F2" s="4">
        <v>288132886.61000001</v>
      </c>
      <c r="G2" s="21" t="s">
        <v>252</v>
      </c>
      <c r="H2" s="5">
        <v>57.371628999999999</v>
      </c>
      <c r="I2" s="21" t="s">
        <v>253</v>
      </c>
      <c r="J2" s="6">
        <v>-7.5899999999999995E-2</v>
      </c>
    </row>
    <row r="3" spans="1:10" ht="6" customHeight="1" x14ac:dyDescent="0.25"/>
    <row r="4" spans="1:10" ht="30" customHeight="1" x14ac:dyDescent="0.25">
      <c r="A4" s="27" t="s">
        <v>254</v>
      </c>
      <c r="B4" s="27" t="s">
        <v>255</v>
      </c>
      <c r="C4" s="27" t="s">
        <v>256</v>
      </c>
      <c r="D4" s="27" t="s">
        <v>257</v>
      </c>
      <c r="E4" s="27" t="s">
        <v>258</v>
      </c>
    </row>
    <row r="5" spans="1:10" ht="15.95" customHeight="1" x14ac:dyDescent="0.25">
      <c r="A5" s="2" t="s">
        <v>82</v>
      </c>
      <c r="B5" s="3" t="s">
        <v>83</v>
      </c>
      <c r="C5" s="4">
        <v>100000</v>
      </c>
      <c r="D5" s="4">
        <v>18304187</v>
      </c>
      <c r="E5" s="23">
        <v>5.96E-2</v>
      </c>
    </row>
    <row r="6" spans="1:10" ht="15.95" customHeight="1" x14ac:dyDescent="0.25">
      <c r="A6" s="7" t="s">
        <v>78</v>
      </c>
      <c r="B6" s="8" t="s">
        <v>79</v>
      </c>
      <c r="C6" s="9">
        <v>26224</v>
      </c>
      <c r="D6" s="9">
        <v>17910992</v>
      </c>
      <c r="E6" s="26">
        <v>5.8299999999999998E-2</v>
      </c>
    </row>
    <row r="7" spans="1:10" ht="15.95" customHeight="1" x14ac:dyDescent="0.25">
      <c r="A7" s="2" t="s">
        <v>102</v>
      </c>
      <c r="B7" s="3" t="s">
        <v>103</v>
      </c>
      <c r="C7" s="4">
        <v>24048</v>
      </c>
      <c r="D7" s="4">
        <v>16961685</v>
      </c>
      <c r="E7" s="23">
        <v>5.5199999999999999E-2</v>
      </c>
    </row>
    <row r="8" spans="1:10" ht="15.95" customHeight="1" x14ac:dyDescent="0.25">
      <c r="A8" s="7" t="s">
        <v>106</v>
      </c>
      <c r="B8" s="8" t="s">
        <v>107</v>
      </c>
      <c r="C8" s="9">
        <v>20000</v>
      </c>
      <c r="D8" s="9">
        <v>15720377</v>
      </c>
      <c r="E8" s="26">
        <v>5.1200000000000002E-2</v>
      </c>
    </row>
    <row r="9" spans="1:10" ht="15.95" customHeight="1" x14ac:dyDescent="0.25">
      <c r="A9" s="2" t="s">
        <v>90</v>
      </c>
      <c r="B9" s="3" t="s">
        <v>91</v>
      </c>
      <c r="C9" s="4">
        <v>8000000</v>
      </c>
      <c r="D9" s="4">
        <v>15223023</v>
      </c>
      <c r="E9" s="23">
        <v>4.9500000000000002E-2</v>
      </c>
    </row>
    <row r="10" spans="1:10" ht="15.95" customHeight="1" x14ac:dyDescent="0.25">
      <c r="A10" s="7" t="s">
        <v>80</v>
      </c>
      <c r="B10" s="8" t="s">
        <v>81</v>
      </c>
      <c r="C10" s="9">
        <v>275000</v>
      </c>
      <c r="D10" s="9">
        <v>14488920</v>
      </c>
      <c r="E10" s="26">
        <v>4.7100000000000003E-2</v>
      </c>
    </row>
    <row r="11" spans="1:10" ht="15.95" customHeight="1" x14ac:dyDescent="0.25">
      <c r="A11" s="2" t="s">
        <v>74</v>
      </c>
      <c r="B11" s="3" t="s">
        <v>75</v>
      </c>
      <c r="C11" s="4">
        <v>69048</v>
      </c>
      <c r="D11" s="4">
        <v>13480650</v>
      </c>
      <c r="E11" s="23">
        <v>4.3899999999999988E-2</v>
      </c>
    </row>
    <row r="12" spans="1:10" ht="15.95" customHeight="1" x14ac:dyDescent="0.25">
      <c r="A12" s="7" t="s">
        <v>76</v>
      </c>
      <c r="B12" s="8" t="s">
        <v>77</v>
      </c>
      <c r="C12" s="9">
        <v>40000</v>
      </c>
      <c r="D12" s="9">
        <v>12810000</v>
      </c>
      <c r="E12" s="26">
        <v>4.1700000000000001E-2</v>
      </c>
    </row>
    <row r="13" spans="1:10" ht="15.95" customHeight="1" x14ac:dyDescent="0.25">
      <c r="A13" s="2" t="s">
        <v>110</v>
      </c>
      <c r="B13" s="3" t="s">
        <v>111</v>
      </c>
      <c r="C13" s="4">
        <v>375188</v>
      </c>
      <c r="D13" s="4">
        <v>12563978</v>
      </c>
      <c r="E13" s="23">
        <v>4.0899999999999999E-2</v>
      </c>
    </row>
    <row r="14" spans="1:10" ht="15.95" customHeight="1" x14ac:dyDescent="0.25">
      <c r="A14" s="7" t="s">
        <v>86</v>
      </c>
      <c r="B14" s="8" t="s">
        <v>87</v>
      </c>
      <c r="C14" s="9">
        <v>179785</v>
      </c>
      <c r="D14" s="9">
        <v>11865810</v>
      </c>
      <c r="E14" s="26">
        <v>3.8600000000000002E-2</v>
      </c>
    </row>
    <row r="15" spans="1:10" ht="15.95" customHeight="1" x14ac:dyDescent="0.25">
      <c r="A15" s="2" t="s">
        <v>96</v>
      </c>
      <c r="B15" s="3" t="s">
        <v>97</v>
      </c>
      <c r="C15" s="4">
        <v>52200</v>
      </c>
      <c r="D15" s="4">
        <v>11187533</v>
      </c>
      <c r="E15" s="23">
        <v>3.6400000000000002E-2</v>
      </c>
    </row>
    <row r="16" spans="1:10" ht="15.95" customHeight="1" x14ac:dyDescent="0.25">
      <c r="A16" s="7" t="s">
        <v>84</v>
      </c>
      <c r="B16" s="8" t="s">
        <v>85</v>
      </c>
      <c r="C16" s="9">
        <v>246405</v>
      </c>
      <c r="D16" s="9">
        <v>9906000</v>
      </c>
      <c r="E16" s="26">
        <v>3.2199999999999999E-2</v>
      </c>
    </row>
    <row r="17" spans="1:5" ht="15.95" customHeight="1" x14ac:dyDescent="0.25">
      <c r="A17" s="2" t="s">
        <v>98</v>
      </c>
      <c r="B17" s="3" t="s">
        <v>99</v>
      </c>
      <c r="C17" s="4">
        <v>93964</v>
      </c>
      <c r="D17" s="4">
        <v>6172891</v>
      </c>
      <c r="E17" s="23">
        <v>2.01E-2</v>
      </c>
    </row>
    <row r="18" spans="1:5" x14ac:dyDescent="0.25">
      <c r="A18" s="21" t="s">
        <v>69</v>
      </c>
      <c r="B18" s="24"/>
      <c r="C18" s="24"/>
      <c r="D18" s="20">
        <f>SUM(D5:D17)</f>
        <v>176596046</v>
      </c>
      <c r="E18" s="25">
        <f>SUM(E5:E17)</f>
        <v>0.57469999999999999</v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4" topLeftCell="A5" activePane="bottomLeft" state="frozen"/>
      <selection pane="bottomLeft" activeCell="K31" sqref="K31"/>
    </sheetView>
  </sheetViews>
  <sheetFormatPr defaultRowHeight="15" x14ac:dyDescent="0.25"/>
  <cols>
    <col min="1" max="1" width="10" style="30" customWidth="1"/>
    <col min="2" max="2" width="40" style="30" customWidth="1"/>
    <col min="3" max="3" width="18" style="30" customWidth="1"/>
    <col min="4" max="4" width="22" style="30" customWidth="1"/>
    <col min="5" max="5" width="14" style="30" customWidth="1"/>
  </cols>
  <sheetData>
    <row r="1" spans="1:10" ht="27.95" customHeight="1" x14ac:dyDescent="0.25">
      <c r="A1" s="55" t="s">
        <v>274</v>
      </c>
      <c r="B1" s="51"/>
      <c r="C1" s="51"/>
      <c r="D1" s="51"/>
      <c r="E1" s="51"/>
      <c r="F1" s="51"/>
      <c r="G1" s="51"/>
    </row>
    <row r="2" spans="1:10" ht="20.100000000000001" customHeight="1" x14ac:dyDescent="0.25">
      <c r="A2" s="21" t="s">
        <v>249</v>
      </c>
      <c r="B2" s="22" t="s">
        <v>53</v>
      </c>
      <c r="C2" s="21" t="s">
        <v>250</v>
      </c>
      <c r="D2" s="22" t="s">
        <v>54</v>
      </c>
      <c r="E2" s="21" t="s">
        <v>251</v>
      </c>
      <c r="F2" s="4">
        <v>42333595.979999997</v>
      </c>
      <c r="G2" s="21" t="s">
        <v>252</v>
      </c>
      <c r="H2" s="5">
        <v>101.806695</v>
      </c>
      <c r="I2" s="21" t="s">
        <v>253</v>
      </c>
      <c r="J2" s="6">
        <v>-5.1100000000000013E-2</v>
      </c>
    </row>
    <row r="3" spans="1:10" ht="6" customHeight="1" x14ac:dyDescent="0.25"/>
    <row r="4" spans="1:10" ht="30" customHeight="1" x14ac:dyDescent="0.25">
      <c r="A4" s="27" t="s">
        <v>254</v>
      </c>
      <c r="B4" s="27" t="s">
        <v>255</v>
      </c>
      <c r="C4" s="27" t="s">
        <v>256</v>
      </c>
      <c r="D4" s="27" t="s">
        <v>257</v>
      </c>
      <c r="E4" s="27" t="s">
        <v>258</v>
      </c>
    </row>
    <row r="5" spans="1:10" ht="15.95" customHeight="1" x14ac:dyDescent="0.25">
      <c r="A5" s="2" t="s">
        <v>78</v>
      </c>
      <c r="B5" s="3" t="s">
        <v>79</v>
      </c>
      <c r="C5" s="4">
        <v>4000</v>
      </c>
      <c r="D5" s="4">
        <v>2732000</v>
      </c>
      <c r="E5" s="23">
        <v>6.0499999999999998E-2</v>
      </c>
    </row>
    <row r="6" spans="1:10" ht="15.95" customHeight="1" x14ac:dyDescent="0.25">
      <c r="A6" s="7" t="s">
        <v>80</v>
      </c>
      <c r="B6" s="8" t="s">
        <v>81</v>
      </c>
      <c r="C6" s="9">
        <v>4000</v>
      </c>
      <c r="D6" s="9">
        <v>2410000</v>
      </c>
      <c r="E6" s="26">
        <v>5.3400000000000003E-2</v>
      </c>
    </row>
    <row r="7" spans="1:10" ht="15.95" customHeight="1" x14ac:dyDescent="0.25">
      <c r="A7" s="2" t="s">
        <v>106</v>
      </c>
      <c r="B7" s="3" t="s">
        <v>107</v>
      </c>
      <c r="C7" s="4"/>
      <c r="D7" s="4">
        <v>2095000</v>
      </c>
      <c r="E7" s="23">
        <v>4.6399999999999997E-2</v>
      </c>
    </row>
    <row r="8" spans="1:10" ht="15.95" customHeight="1" x14ac:dyDescent="0.25">
      <c r="A8" s="7" t="s">
        <v>74</v>
      </c>
      <c r="B8" s="8" t="s">
        <v>75</v>
      </c>
      <c r="C8" s="9"/>
      <c r="D8" s="9">
        <v>1678625</v>
      </c>
      <c r="E8" s="26">
        <v>3.7199999999999997E-2</v>
      </c>
    </row>
    <row r="9" spans="1:10" ht="15.95" customHeight="1" x14ac:dyDescent="0.25">
      <c r="A9" s="2" t="s">
        <v>86</v>
      </c>
      <c r="B9" s="3" t="s">
        <v>87</v>
      </c>
      <c r="C9" s="4">
        <v>20000</v>
      </c>
      <c r="D9" s="4">
        <v>1320000</v>
      </c>
      <c r="E9" s="23">
        <v>2.92E-2</v>
      </c>
    </row>
    <row r="10" spans="1:10" ht="15.95" customHeight="1" x14ac:dyDescent="0.25">
      <c r="A10" s="7" t="s">
        <v>96</v>
      </c>
      <c r="B10" s="8" t="s">
        <v>97</v>
      </c>
      <c r="C10" s="9">
        <v>10000</v>
      </c>
      <c r="D10" s="9">
        <v>1265000</v>
      </c>
      <c r="E10" s="26">
        <v>2.8000000000000001E-2</v>
      </c>
    </row>
    <row r="11" spans="1:10" ht="15.95" customHeight="1" x14ac:dyDescent="0.25">
      <c r="A11" s="2" t="s">
        <v>90</v>
      </c>
      <c r="B11" s="3" t="s">
        <v>91</v>
      </c>
      <c r="C11" s="4">
        <v>7097</v>
      </c>
      <c r="D11" s="4">
        <v>1029875</v>
      </c>
      <c r="E11" s="23">
        <v>2.2800000000000001E-2</v>
      </c>
    </row>
    <row r="12" spans="1:10" x14ac:dyDescent="0.25">
      <c r="A12" s="21" t="s">
        <v>69</v>
      </c>
      <c r="B12" s="24"/>
      <c r="C12" s="24"/>
      <c r="D12" s="20">
        <f>SUM(D5:D11)</f>
        <v>12530500</v>
      </c>
      <c r="E12" s="25">
        <f>SUM(E5:E11)</f>
        <v>0.27750000000000002</v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10" style="30" customWidth="1"/>
    <col min="2" max="2" width="40" style="30" customWidth="1"/>
    <col min="3" max="3" width="18" style="30" customWidth="1"/>
    <col min="4" max="4" width="22" style="30" customWidth="1"/>
    <col min="5" max="5" width="14" style="30" customWidth="1"/>
  </cols>
  <sheetData>
    <row r="1" spans="1:10" ht="27.95" customHeight="1" x14ac:dyDescent="0.25">
      <c r="A1" s="55" t="s">
        <v>275</v>
      </c>
      <c r="B1" s="51"/>
      <c r="C1" s="51"/>
      <c r="D1" s="51"/>
      <c r="E1" s="51"/>
      <c r="F1" s="51"/>
      <c r="G1" s="51"/>
    </row>
    <row r="2" spans="1:10" ht="20.100000000000001" customHeight="1" x14ac:dyDescent="0.25">
      <c r="A2" s="21" t="s">
        <v>249</v>
      </c>
      <c r="B2" s="22" t="s">
        <v>53</v>
      </c>
      <c r="C2" s="21" t="s">
        <v>250</v>
      </c>
      <c r="D2" s="22" t="s">
        <v>54</v>
      </c>
      <c r="E2" s="21" t="s">
        <v>251</v>
      </c>
      <c r="F2" s="4">
        <v>51526123.539999999</v>
      </c>
      <c r="G2" s="21" t="s">
        <v>252</v>
      </c>
      <c r="H2" s="5">
        <v>15.930467</v>
      </c>
      <c r="I2" s="21" t="s">
        <v>253</v>
      </c>
      <c r="J2" s="6">
        <v>-2.4500000000000001E-2</v>
      </c>
    </row>
    <row r="3" spans="1:10" ht="6" customHeight="1" x14ac:dyDescent="0.25"/>
    <row r="4" spans="1:10" ht="30" customHeight="1" x14ac:dyDescent="0.25">
      <c r="A4" s="27" t="s">
        <v>254</v>
      </c>
      <c r="B4" s="27" t="s">
        <v>255</v>
      </c>
      <c r="C4" s="27" t="s">
        <v>256</v>
      </c>
      <c r="D4" s="27" t="s">
        <v>257</v>
      </c>
      <c r="E4" s="27" t="s">
        <v>258</v>
      </c>
    </row>
    <row r="5" spans="1:10" ht="15.95" customHeight="1" x14ac:dyDescent="0.25">
      <c r="A5" s="2" t="s">
        <v>78</v>
      </c>
      <c r="B5" s="3" t="s">
        <v>79</v>
      </c>
      <c r="C5" s="4">
        <v>4850</v>
      </c>
      <c r="D5" s="4">
        <v>3312550</v>
      </c>
      <c r="E5" s="23">
        <v>6.4199999999999993E-2</v>
      </c>
    </row>
    <row r="6" spans="1:10" ht="15.95" customHeight="1" x14ac:dyDescent="0.25">
      <c r="A6" s="7" t="s">
        <v>88</v>
      </c>
      <c r="B6" s="8" t="s">
        <v>89</v>
      </c>
      <c r="C6" s="9">
        <v>7670</v>
      </c>
      <c r="D6" s="9">
        <v>3263585</v>
      </c>
      <c r="E6" s="26">
        <v>6.3200000000000006E-2</v>
      </c>
    </row>
    <row r="7" spans="1:10" ht="15.95" customHeight="1" x14ac:dyDescent="0.25">
      <c r="A7" s="2" t="s">
        <v>74</v>
      </c>
      <c r="B7" s="3" t="s">
        <v>75</v>
      </c>
      <c r="C7" s="4">
        <v>10950</v>
      </c>
      <c r="D7" s="4">
        <v>2827837</v>
      </c>
      <c r="E7" s="23">
        <v>5.4800000000000001E-2</v>
      </c>
    </row>
    <row r="8" spans="1:10" ht="15.95" customHeight="1" x14ac:dyDescent="0.25">
      <c r="A8" s="7" t="s">
        <v>76</v>
      </c>
      <c r="B8" s="8" t="s">
        <v>77</v>
      </c>
      <c r="C8" s="9">
        <v>8774</v>
      </c>
      <c r="D8" s="9">
        <v>2809873</v>
      </c>
      <c r="E8" s="26">
        <v>5.4399999999999997E-2</v>
      </c>
    </row>
    <row r="9" spans="1:10" ht="15.95" customHeight="1" x14ac:dyDescent="0.25">
      <c r="A9" s="2" t="s">
        <v>124</v>
      </c>
      <c r="B9" s="3" t="s">
        <v>125</v>
      </c>
      <c r="C9" s="4">
        <v>13550</v>
      </c>
      <c r="D9" s="4">
        <v>2462035</v>
      </c>
      <c r="E9" s="23">
        <v>4.7699999999999992E-2</v>
      </c>
    </row>
    <row r="10" spans="1:10" ht="15.95" customHeight="1" x14ac:dyDescent="0.25">
      <c r="A10" s="7" t="s">
        <v>108</v>
      </c>
      <c r="B10" s="8" t="s">
        <v>109</v>
      </c>
      <c r="C10" s="9">
        <v>21380</v>
      </c>
      <c r="D10" s="9">
        <v>2448010</v>
      </c>
      <c r="E10" s="26">
        <v>4.7399999999999998E-2</v>
      </c>
    </row>
    <row r="11" spans="1:10" ht="15.95" customHeight="1" x14ac:dyDescent="0.25">
      <c r="A11" s="2" t="s">
        <v>104</v>
      </c>
      <c r="B11" s="3" t="s">
        <v>105</v>
      </c>
      <c r="C11" s="4">
        <v>44330</v>
      </c>
      <c r="D11" s="4">
        <v>2158871</v>
      </c>
      <c r="E11" s="23">
        <v>4.1799999999999997E-2</v>
      </c>
    </row>
    <row r="12" spans="1:10" ht="15.95" customHeight="1" x14ac:dyDescent="0.25">
      <c r="A12" s="7" t="s">
        <v>94</v>
      </c>
      <c r="B12" s="8" t="s">
        <v>95</v>
      </c>
      <c r="C12" s="9">
        <v>61798</v>
      </c>
      <c r="D12" s="9">
        <v>1909558</v>
      </c>
      <c r="E12" s="26">
        <v>3.7000000000000012E-2</v>
      </c>
    </row>
    <row r="13" spans="1:10" ht="15.95" customHeight="1" x14ac:dyDescent="0.25">
      <c r="A13" s="2" t="s">
        <v>92</v>
      </c>
      <c r="B13" s="3" t="s">
        <v>93</v>
      </c>
      <c r="C13" s="4">
        <v>66000</v>
      </c>
      <c r="D13" s="4">
        <v>1862520</v>
      </c>
      <c r="E13" s="23">
        <v>3.61E-2</v>
      </c>
    </row>
    <row r="14" spans="1:10" x14ac:dyDescent="0.25">
      <c r="A14" s="21" t="s">
        <v>69</v>
      </c>
      <c r="B14" s="24"/>
      <c r="C14" s="24"/>
      <c r="D14" s="20">
        <f>SUM(D5:D13)</f>
        <v>23054839</v>
      </c>
      <c r="E14" s="25">
        <f>SUM(E5:E13)</f>
        <v>0.44660000000000005</v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10" style="30" customWidth="1"/>
    <col min="2" max="2" width="40" style="30" customWidth="1"/>
    <col min="3" max="3" width="18" style="30" customWidth="1"/>
    <col min="4" max="4" width="22" style="30" customWidth="1"/>
    <col min="5" max="5" width="14" style="30" customWidth="1"/>
  </cols>
  <sheetData>
    <row r="1" spans="1:10" ht="27.95" customHeight="1" x14ac:dyDescent="0.25">
      <c r="A1" s="56" t="s">
        <v>276</v>
      </c>
      <c r="B1" s="51"/>
      <c r="C1" s="51"/>
      <c r="D1" s="51"/>
      <c r="E1" s="51"/>
      <c r="F1" s="51"/>
      <c r="G1" s="51"/>
    </row>
    <row r="2" spans="1:10" ht="20.100000000000001" customHeight="1" x14ac:dyDescent="0.25">
      <c r="A2" s="21" t="s">
        <v>249</v>
      </c>
      <c r="B2" s="22" t="s">
        <v>61</v>
      </c>
      <c r="C2" s="21" t="s">
        <v>250</v>
      </c>
      <c r="D2" s="22" t="s">
        <v>62</v>
      </c>
      <c r="E2" s="21" t="s">
        <v>251</v>
      </c>
      <c r="F2" s="4">
        <v>388007923.12</v>
      </c>
      <c r="G2" s="21" t="s">
        <v>252</v>
      </c>
      <c r="H2" s="5">
        <v>12.663397</v>
      </c>
      <c r="I2" s="21" t="s">
        <v>253</v>
      </c>
      <c r="J2" s="6">
        <v>-7.7100000000000002E-2</v>
      </c>
    </row>
    <row r="3" spans="1:10" ht="6" customHeight="1" x14ac:dyDescent="0.25"/>
    <row r="4" spans="1:10" ht="30" customHeight="1" x14ac:dyDescent="0.25">
      <c r="A4" s="28" t="s">
        <v>254</v>
      </c>
      <c r="B4" s="28" t="s">
        <v>255</v>
      </c>
      <c r="C4" s="28" t="s">
        <v>256</v>
      </c>
      <c r="D4" s="28" t="s">
        <v>257</v>
      </c>
      <c r="E4" s="28" t="s">
        <v>258</v>
      </c>
    </row>
    <row r="5" spans="1:10" ht="15.95" customHeight="1" x14ac:dyDescent="0.25">
      <c r="A5" s="2" t="s">
        <v>198</v>
      </c>
      <c r="B5" s="3" t="s">
        <v>199</v>
      </c>
      <c r="C5" s="4">
        <v>2480000</v>
      </c>
      <c r="D5" s="4">
        <v>34397600</v>
      </c>
      <c r="E5" s="23">
        <v>8.7499999999999994E-2</v>
      </c>
    </row>
    <row r="6" spans="1:10" ht="15.95" customHeight="1" x14ac:dyDescent="0.25">
      <c r="A6" s="7" t="s">
        <v>112</v>
      </c>
      <c r="B6" s="8" t="s">
        <v>113</v>
      </c>
      <c r="C6" s="9">
        <v>370000</v>
      </c>
      <c r="D6" s="9">
        <v>29785000</v>
      </c>
      <c r="E6" s="26">
        <v>7.5800000000000006E-2</v>
      </c>
    </row>
    <row r="7" spans="1:10" ht="15.95" customHeight="1" x14ac:dyDescent="0.25">
      <c r="A7" s="2" t="s">
        <v>130</v>
      </c>
      <c r="B7" s="3" t="s">
        <v>131</v>
      </c>
      <c r="C7" s="4">
        <v>544022</v>
      </c>
      <c r="D7" s="4">
        <v>17941845</v>
      </c>
      <c r="E7" s="23">
        <v>4.5699999999999998E-2</v>
      </c>
    </row>
    <row r="8" spans="1:10" ht="15.95" customHeight="1" x14ac:dyDescent="0.25">
      <c r="A8" s="7" t="s">
        <v>206</v>
      </c>
      <c r="B8" s="8" t="s">
        <v>207</v>
      </c>
      <c r="C8" s="9">
        <v>200000</v>
      </c>
      <c r="D8" s="9">
        <v>17080000</v>
      </c>
      <c r="E8" s="26">
        <v>4.3499999999999997E-2</v>
      </c>
    </row>
    <row r="9" spans="1:10" ht="15.95" customHeight="1" x14ac:dyDescent="0.25">
      <c r="A9" s="2" t="s">
        <v>166</v>
      </c>
      <c r="B9" s="3" t="s">
        <v>167</v>
      </c>
      <c r="C9" s="4">
        <v>375000</v>
      </c>
      <c r="D9" s="4">
        <v>15202500</v>
      </c>
      <c r="E9" s="23">
        <v>3.8699999999999998E-2</v>
      </c>
    </row>
    <row r="10" spans="1:10" ht="15.95" customHeight="1" x14ac:dyDescent="0.25">
      <c r="A10" s="7" t="s">
        <v>148</v>
      </c>
      <c r="B10" s="8" t="s">
        <v>149</v>
      </c>
      <c r="C10" s="9">
        <v>510000</v>
      </c>
      <c r="D10" s="9">
        <v>14963400</v>
      </c>
      <c r="E10" s="26">
        <v>3.8100000000000002E-2</v>
      </c>
    </row>
    <row r="11" spans="1:10" ht="15.95" customHeight="1" x14ac:dyDescent="0.25">
      <c r="A11" s="2" t="s">
        <v>116</v>
      </c>
      <c r="B11" s="3" t="s">
        <v>117</v>
      </c>
      <c r="C11" s="4">
        <v>1785000</v>
      </c>
      <c r="D11" s="4">
        <v>14815500</v>
      </c>
      <c r="E11" s="23">
        <v>3.7699999999999997E-2</v>
      </c>
    </row>
    <row r="12" spans="1:10" ht="15.95" customHeight="1" x14ac:dyDescent="0.25">
      <c r="A12" s="7" t="s">
        <v>152</v>
      </c>
      <c r="B12" s="8" t="s">
        <v>153</v>
      </c>
      <c r="C12" s="9">
        <v>495000</v>
      </c>
      <c r="D12" s="9">
        <v>14741100</v>
      </c>
      <c r="E12" s="26">
        <v>3.7499999999999999E-2</v>
      </c>
    </row>
    <row r="13" spans="1:10" ht="15.95" customHeight="1" x14ac:dyDescent="0.25">
      <c r="A13" s="2" t="s">
        <v>210</v>
      </c>
      <c r="B13" s="3" t="s">
        <v>211</v>
      </c>
      <c r="C13" s="4">
        <v>1650000</v>
      </c>
      <c r="D13" s="4">
        <v>14635500</v>
      </c>
      <c r="E13" s="23">
        <v>3.7199999999999997E-2</v>
      </c>
    </row>
    <row r="14" spans="1:10" ht="15.95" customHeight="1" x14ac:dyDescent="0.25">
      <c r="A14" s="7" t="s">
        <v>214</v>
      </c>
      <c r="B14" s="8" t="s">
        <v>215</v>
      </c>
      <c r="C14" s="9">
        <v>1190000</v>
      </c>
      <c r="D14" s="9">
        <v>13946800</v>
      </c>
      <c r="E14" s="26">
        <v>3.5499999999999997E-2</v>
      </c>
    </row>
    <row r="15" spans="1:10" ht="15.95" customHeight="1" x14ac:dyDescent="0.25">
      <c r="A15" s="2" t="s">
        <v>168</v>
      </c>
      <c r="B15" s="3" t="s">
        <v>169</v>
      </c>
      <c r="C15" s="4">
        <v>1330000</v>
      </c>
      <c r="D15" s="4">
        <v>12555200</v>
      </c>
      <c r="E15" s="23">
        <v>3.2000000000000001E-2</v>
      </c>
    </row>
    <row r="16" spans="1:10" ht="15.95" customHeight="1" x14ac:dyDescent="0.25">
      <c r="A16" s="7" t="s">
        <v>220</v>
      </c>
      <c r="B16" s="8" t="s">
        <v>221</v>
      </c>
      <c r="C16" s="9">
        <v>50000</v>
      </c>
      <c r="D16" s="9">
        <v>11660000</v>
      </c>
      <c r="E16" s="26">
        <v>2.9700000000000001E-2</v>
      </c>
    </row>
    <row r="17" spans="1:5" ht="15.95" customHeight="1" x14ac:dyDescent="0.25">
      <c r="A17" s="2" t="s">
        <v>174</v>
      </c>
      <c r="B17" s="3" t="s">
        <v>175</v>
      </c>
      <c r="C17" s="4">
        <v>150000</v>
      </c>
      <c r="D17" s="4">
        <v>10762500</v>
      </c>
      <c r="E17" s="23">
        <v>2.7400000000000001E-2</v>
      </c>
    </row>
    <row r="18" spans="1:5" ht="15.95" customHeight="1" x14ac:dyDescent="0.25">
      <c r="A18" s="7" t="s">
        <v>128</v>
      </c>
      <c r="B18" s="8" t="s">
        <v>129</v>
      </c>
      <c r="C18" s="9">
        <v>31500</v>
      </c>
      <c r="D18" s="9">
        <v>9749250</v>
      </c>
      <c r="E18" s="26">
        <v>2.4799999999999999E-2</v>
      </c>
    </row>
    <row r="19" spans="1:5" ht="15.95" customHeight="1" x14ac:dyDescent="0.25">
      <c r="A19" s="2" t="s">
        <v>172</v>
      </c>
      <c r="B19" s="3" t="s">
        <v>173</v>
      </c>
      <c r="C19" s="4">
        <v>597000</v>
      </c>
      <c r="D19" s="4">
        <v>9014700</v>
      </c>
      <c r="E19" s="23">
        <v>2.29E-2</v>
      </c>
    </row>
    <row r="20" spans="1:5" ht="15.95" customHeight="1" x14ac:dyDescent="0.25">
      <c r="A20" s="7" t="s">
        <v>232</v>
      </c>
      <c r="B20" s="8" t="s">
        <v>233</v>
      </c>
      <c r="C20" s="9">
        <v>145868</v>
      </c>
      <c r="D20" s="9">
        <v>8759373</v>
      </c>
      <c r="E20" s="26">
        <v>2.23E-2</v>
      </c>
    </row>
    <row r="21" spans="1:5" ht="15.95" customHeight="1" x14ac:dyDescent="0.25">
      <c r="A21" s="2" t="s">
        <v>162</v>
      </c>
      <c r="B21" s="3" t="s">
        <v>163</v>
      </c>
      <c r="C21" s="4">
        <v>435000</v>
      </c>
      <c r="D21" s="4">
        <v>8656500</v>
      </c>
      <c r="E21" s="23">
        <v>2.1999999999999999E-2</v>
      </c>
    </row>
    <row r="22" spans="1:5" ht="15.95" customHeight="1" x14ac:dyDescent="0.25">
      <c r="A22" s="7" t="s">
        <v>180</v>
      </c>
      <c r="B22" s="8" t="s">
        <v>181</v>
      </c>
      <c r="C22" s="9">
        <v>225000</v>
      </c>
      <c r="D22" s="9">
        <v>8442000</v>
      </c>
      <c r="E22" s="26">
        <v>2.1499999999999998E-2</v>
      </c>
    </row>
    <row r="23" spans="1:5" ht="15.95" customHeight="1" x14ac:dyDescent="0.25">
      <c r="A23" s="2" t="s">
        <v>122</v>
      </c>
      <c r="B23" s="3" t="s">
        <v>123</v>
      </c>
      <c r="C23" s="4">
        <v>203333</v>
      </c>
      <c r="D23" s="4">
        <v>7543654</v>
      </c>
      <c r="E23" s="23">
        <v>1.9199999999999998E-2</v>
      </c>
    </row>
    <row r="24" spans="1:5" ht="15.95" customHeight="1" x14ac:dyDescent="0.25">
      <c r="A24" s="7" t="s">
        <v>242</v>
      </c>
      <c r="B24" s="8" t="s">
        <v>243</v>
      </c>
      <c r="C24" s="9">
        <v>400000</v>
      </c>
      <c r="D24" s="9">
        <v>6596000</v>
      </c>
      <c r="E24" s="26">
        <v>1.6799999999999999E-2</v>
      </c>
    </row>
    <row r="25" spans="1:5" ht="15.95" customHeight="1" x14ac:dyDescent="0.25">
      <c r="A25" s="2" t="s">
        <v>184</v>
      </c>
      <c r="B25" s="3" t="s">
        <v>185</v>
      </c>
      <c r="C25" s="4">
        <v>106000</v>
      </c>
      <c r="D25" s="4">
        <v>6375900</v>
      </c>
      <c r="E25" s="23">
        <v>1.6199999999999999E-2</v>
      </c>
    </row>
    <row r="26" spans="1:5" ht="15.95" customHeight="1" x14ac:dyDescent="0.25">
      <c r="A26" s="7" t="s">
        <v>186</v>
      </c>
      <c r="B26" s="8" t="s">
        <v>187</v>
      </c>
      <c r="C26" s="9">
        <v>491178</v>
      </c>
      <c r="D26" s="9">
        <v>5702576</v>
      </c>
      <c r="E26" s="26">
        <v>1.4500000000000001E-2</v>
      </c>
    </row>
    <row r="27" spans="1:5" ht="15.95" customHeight="1" x14ac:dyDescent="0.25">
      <c r="A27" s="2" t="s">
        <v>120</v>
      </c>
      <c r="B27" s="3" t="s">
        <v>121</v>
      </c>
      <c r="C27" s="4">
        <v>150000</v>
      </c>
      <c r="D27" s="4">
        <v>5475000</v>
      </c>
      <c r="E27" s="23">
        <v>1.3899999999999999E-2</v>
      </c>
    </row>
    <row r="28" spans="1:5" ht="15.95" customHeight="1" x14ac:dyDescent="0.25">
      <c r="A28" s="7" t="s">
        <v>178</v>
      </c>
      <c r="B28" s="8" t="s">
        <v>179</v>
      </c>
      <c r="C28" s="9">
        <v>600000</v>
      </c>
      <c r="D28" s="9">
        <v>5220000</v>
      </c>
      <c r="E28" s="26">
        <v>1.3299999999999999E-2</v>
      </c>
    </row>
    <row r="29" spans="1:5" ht="15.95" customHeight="1" x14ac:dyDescent="0.25">
      <c r="A29" s="2" t="s">
        <v>132</v>
      </c>
      <c r="B29" s="3" t="s">
        <v>133</v>
      </c>
      <c r="C29" s="4">
        <v>150000</v>
      </c>
      <c r="D29" s="4">
        <v>4380000</v>
      </c>
      <c r="E29" s="23">
        <v>1.11E-2</v>
      </c>
    </row>
    <row r="30" spans="1:5" x14ac:dyDescent="0.25">
      <c r="A30" s="21" t="s">
        <v>69</v>
      </c>
      <c r="B30" s="24"/>
      <c r="C30" s="24"/>
      <c r="D30" s="20">
        <f>SUM(D5:D29)</f>
        <v>308401898</v>
      </c>
      <c r="E30" s="25">
        <f>SUM(E5:E29)</f>
        <v>0.78479999999999994</v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10" style="30" customWidth="1"/>
    <col min="2" max="2" width="40" style="30" customWidth="1"/>
    <col min="3" max="3" width="18" style="30" customWidth="1"/>
    <col min="4" max="4" width="22" style="30" customWidth="1"/>
    <col min="5" max="5" width="14" style="30" customWidth="1"/>
  </cols>
  <sheetData>
    <row r="1" spans="1:10" ht="27.95" customHeight="1" x14ac:dyDescent="0.25">
      <c r="A1" s="56" t="s">
        <v>277</v>
      </c>
      <c r="B1" s="51"/>
      <c r="C1" s="51"/>
      <c r="D1" s="51"/>
      <c r="E1" s="51"/>
      <c r="F1" s="51"/>
      <c r="G1" s="51"/>
    </row>
    <row r="2" spans="1:10" ht="20.100000000000001" customHeight="1" x14ac:dyDescent="0.25">
      <c r="A2" s="21" t="s">
        <v>249</v>
      </c>
      <c r="B2" s="22" t="s">
        <v>61</v>
      </c>
      <c r="C2" s="21" t="s">
        <v>250</v>
      </c>
      <c r="D2" s="22" t="s">
        <v>62</v>
      </c>
      <c r="E2" s="21" t="s">
        <v>251</v>
      </c>
      <c r="F2" s="4">
        <v>167235146.25</v>
      </c>
      <c r="G2" s="21" t="s">
        <v>252</v>
      </c>
      <c r="H2" s="5">
        <v>9.7084039999999998</v>
      </c>
      <c r="I2" s="21" t="s">
        <v>253</v>
      </c>
      <c r="J2" s="6">
        <v>-9.1899999999999996E-2</v>
      </c>
    </row>
    <row r="3" spans="1:10" ht="6" customHeight="1" x14ac:dyDescent="0.25"/>
    <row r="4" spans="1:10" ht="30" customHeight="1" x14ac:dyDescent="0.25">
      <c r="A4" s="28" t="s">
        <v>254</v>
      </c>
      <c r="B4" s="28" t="s">
        <v>255</v>
      </c>
      <c r="C4" s="28" t="s">
        <v>256</v>
      </c>
      <c r="D4" s="28" t="s">
        <v>257</v>
      </c>
      <c r="E4" s="28" t="s">
        <v>258</v>
      </c>
    </row>
    <row r="5" spans="1:10" ht="15.95" customHeight="1" x14ac:dyDescent="0.25">
      <c r="A5" s="2" t="s">
        <v>112</v>
      </c>
      <c r="B5" s="3" t="s">
        <v>113</v>
      </c>
      <c r="C5" s="4">
        <v>145000</v>
      </c>
      <c r="D5" s="4">
        <v>11672500</v>
      </c>
      <c r="E5" s="23">
        <v>6.6199999999999995E-2</v>
      </c>
    </row>
    <row r="6" spans="1:10" ht="15.95" customHeight="1" x14ac:dyDescent="0.25">
      <c r="A6" s="7" t="s">
        <v>128</v>
      </c>
      <c r="B6" s="8" t="s">
        <v>129</v>
      </c>
      <c r="C6" s="9">
        <v>34000</v>
      </c>
      <c r="D6" s="9">
        <v>10523000</v>
      </c>
      <c r="E6" s="26">
        <v>5.9700000000000003E-2</v>
      </c>
    </row>
    <row r="7" spans="1:10" ht="15.95" customHeight="1" x14ac:dyDescent="0.25">
      <c r="A7" s="2" t="s">
        <v>156</v>
      </c>
      <c r="B7" s="3" t="s">
        <v>157</v>
      </c>
      <c r="C7" s="4">
        <v>355000</v>
      </c>
      <c r="D7" s="4">
        <v>9677300</v>
      </c>
      <c r="E7" s="23">
        <v>5.4899999999999997E-2</v>
      </c>
    </row>
    <row r="8" spans="1:10" ht="15.95" customHeight="1" x14ac:dyDescent="0.25">
      <c r="A8" s="7" t="s">
        <v>158</v>
      </c>
      <c r="B8" s="8" t="s">
        <v>159</v>
      </c>
      <c r="C8" s="9">
        <v>215000</v>
      </c>
      <c r="D8" s="9">
        <v>9279400</v>
      </c>
      <c r="E8" s="26">
        <v>5.2600000000000001E-2</v>
      </c>
    </row>
    <row r="9" spans="1:10" ht="15.95" customHeight="1" x14ac:dyDescent="0.25">
      <c r="A9" s="2" t="s">
        <v>152</v>
      </c>
      <c r="B9" s="3" t="s">
        <v>153</v>
      </c>
      <c r="C9" s="4">
        <v>253248</v>
      </c>
      <c r="D9" s="4">
        <v>7541725</v>
      </c>
      <c r="E9" s="23">
        <v>4.2799999999999998E-2</v>
      </c>
    </row>
    <row r="10" spans="1:10" ht="15.95" customHeight="1" x14ac:dyDescent="0.25">
      <c r="A10" s="7" t="s">
        <v>150</v>
      </c>
      <c r="B10" s="8" t="s">
        <v>151</v>
      </c>
      <c r="C10" s="9">
        <v>62000</v>
      </c>
      <c r="D10" s="9">
        <v>7378000</v>
      </c>
      <c r="E10" s="26">
        <v>4.1799999999999997E-2</v>
      </c>
    </row>
    <row r="11" spans="1:10" ht="15.95" customHeight="1" x14ac:dyDescent="0.25">
      <c r="A11" s="2" t="s">
        <v>120</v>
      </c>
      <c r="B11" s="3" t="s">
        <v>121</v>
      </c>
      <c r="C11" s="4">
        <v>201081</v>
      </c>
      <c r="D11" s="4">
        <v>7339456</v>
      </c>
      <c r="E11" s="23">
        <v>4.1599999999999998E-2</v>
      </c>
    </row>
    <row r="12" spans="1:10" ht="15.95" customHeight="1" x14ac:dyDescent="0.25">
      <c r="A12" s="7" t="s">
        <v>154</v>
      </c>
      <c r="B12" s="8" t="s">
        <v>155</v>
      </c>
      <c r="C12" s="9">
        <v>170000</v>
      </c>
      <c r="D12" s="9">
        <v>7157000</v>
      </c>
      <c r="E12" s="26">
        <v>4.0599999999999997E-2</v>
      </c>
    </row>
    <row r="13" spans="1:10" ht="15.95" customHeight="1" x14ac:dyDescent="0.25">
      <c r="A13" s="2" t="s">
        <v>170</v>
      </c>
      <c r="B13" s="3" t="s">
        <v>171</v>
      </c>
      <c r="C13" s="4">
        <v>300000</v>
      </c>
      <c r="D13" s="4">
        <v>5991000</v>
      </c>
      <c r="E13" s="23">
        <v>3.4000000000000002E-2</v>
      </c>
    </row>
    <row r="14" spans="1:10" ht="15.95" customHeight="1" x14ac:dyDescent="0.25">
      <c r="A14" s="7" t="s">
        <v>162</v>
      </c>
      <c r="B14" s="8" t="s">
        <v>163</v>
      </c>
      <c r="C14" s="9">
        <v>293447</v>
      </c>
      <c r="D14" s="9">
        <v>5839595</v>
      </c>
      <c r="E14" s="26">
        <v>3.3099999999999997E-2</v>
      </c>
    </row>
    <row r="15" spans="1:10" ht="15.95" customHeight="1" x14ac:dyDescent="0.25">
      <c r="A15" s="2" t="s">
        <v>134</v>
      </c>
      <c r="B15" s="3" t="s">
        <v>135</v>
      </c>
      <c r="C15" s="4">
        <v>12000</v>
      </c>
      <c r="D15" s="4">
        <v>5679000</v>
      </c>
      <c r="E15" s="23">
        <v>3.2199999999999999E-2</v>
      </c>
    </row>
    <row r="16" spans="1:10" ht="15.95" customHeight="1" x14ac:dyDescent="0.25">
      <c r="A16" s="7" t="s">
        <v>122</v>
      </c>
      <c r="B16" s="8" t="s">
        <v>123</v>
      </c>
      <c r="C16" s="9">
        <v>152143</v>
      </c>
      <c r="D16" s="9">
        <v>5644505</v>
      </c>
      <c r="E16" s="26">
        <v>3.2000000000000001E-2</v>
      </c>
    </row>
    <row r="17" spans="1:5" ht="15.95" customHeight="1" x14ac:dyDescent="0.25">
      <c r="A17" s="2" t="s">
        <v>222</v>
      </c>
      <c r="B17" s="3" t="s">
        <v>223</v>
      </c>
      <c r="C17" s="4">
        <v>10000</v>
      </c>
      <c r="D17" s="4">
        <v>5165000</v>
      </c>
      <c r="E17" s="23">
        <v>2.93E-2</v>
      </c>
    </row>
    <row r="18" spans="1:5" ht="15.95" customHeight="1" x14ac:dyDescent="0.25">
      <c r="A18" s="7" t="s">
        <v>224</v>
      </c>
      <c r="B18" s="8" t="s">
        <v>225</v>
      </c>
      <c r="C18" s="9">
        <v>1750000</v>
      </c>
      <c r="D18" s="9">
        <v>5005000</v>
      </c>
      <c r="E18" s="26">
        <v>2.8400000000000002E-2</v>
      </c>
    </row>
    <row r="19" spans="1:5" ht="15.95" customHeight="1" x14ac:dyDescent="0.25">
      <c r="A19" s="2" t="s">
        <v>226</v>
      </c>
      <c r="B19" s="3" t="s">
        <v>227</v>
      </c>
      <c r="C19" s="4">
        <v>293000</v>
      </c>
      <c r="D19" s="4">
        <v>4740740</v>
      </c>
      <c r="E19" s="23">
        <v>2.69E-2</v>
      </c>
    </row>
    <row r="20" spans="1:5" ht="15.95" customHeight="1" x14ac:dyDescent="0.25">
      <c r="A20" s="7" t="s">
        <v>160</v>
      </c>
      <c r="B20" s="8" t="s">
        <v>161</v>
      </c>
      <c r="C20" s="9">
        <v>100000</v>
      </c>
      <c r="D20" s="9">
        <v>4590000</v>
      </c>
      <c r="E20" s="26">
        <v>2.5999999999999999E-2</v>
      </c>
    </row>
    <row r="21" spans="1:5" ht="15.95" customHeight="1" x14ac:dyDescent="0.25">
      <c r="A21" s="2" t="s">
        <v>146</v>
      </c>
      <c r="B21" s="3" t="s">
        <v>147</v>
      </c>
      <c r="C21" s="4">
        <v>69000</v>
      </c>
      <c r="D21" s="4">
        <v>4246950</v>
      </c>
      <c r="E21" s="23">
        <v>2.41E-2</v>
      </c>
    </row>
    <row r="22" spans="1:5" ht="15.95" customHeight="1" x14ac:dyDescent="0.25">
      <c r="A22" s="7" t="s">
        <v>234</v>
      </c>
      <c r="B22" s="8" t="s">
        <v>235</v>
      </c>
      <c r="C22" s="9">
        <v>16000</v>
      </c>
      <c r="D22" s="9">
        <v>3859200</v>
      </c>
      <c r="E22" s="26">
        <v>2.1899999999999999E-2</v>
      </c>
    </row>
    <row r="23" spans="1:5" ht="15.95" customHeight="1" x14ac:dyDescent="0.25">
      <c r="A23" s="2" t="s">
        <v>178</v>
      </c>
      <c r="B23" s="3" t="s">
        <v>179</v>
      </c>
      <c r="C23" s="4">
        <v>440000</v>
      </c>
      <c r="D23" s="4">
        <v>3828000</v>
      </c>
      <c r="E23" s="23">
        <v>2.1700000000000001E-2</v>
      </c>
    </row>
    <row r="24" spans="1:5" ht="15.95" customHeight="1" x14ac:dyDescent="0.25">
      <c r="A24" s="7" t="s">
        <v>116</v>
      </c>
      <c r="B24" s="8" t="s">
        <v>117</v>
      </c>
      <c r="C24" s="9">
        <v>450000</v>
      </c>
      <c r="D24" s="9">
        <v>3735000</v>
      </c>
      <c r="E24" s="26">
        <v>2.12E-2</v>
      </c>
    </row>
    <row r="25" spans="1:5" ht="15.95" customHeight="1" x14ac:dyDescent="0.25">
      <c r="A25" s="2" t="s">
        <v>168</v>
      </c>
      <c r="B25" s="3" t="s">
        <v>169</v>
      </c>
      <c r="C25" s="4">
        <v>380000</v>
      </c>
      <c r="D25" s="4">
        <v>3587200</v>
      </c>
      <c r="E25" s="23">
        <v>2.0299999999999999E-2</v>
      </c>
    </row>
    <row r="26" spans="1:5" ht="15.95" customHeight="1" x14ac:dyDescent="0.25">
      <c r="A26" s="7" t="s">
        <v>238</v>
      </c>
      <c r="B26" s="8" t="s">
        <v>239</v>
      </c>
      <c r="C26" s="9">
        <v>50000</v>
      </c>
      <c r="D26" s="9">
        <v>3522500</v>
      </c>
      <c r="E26" s="26">
        <v>0.02</v>
      </c>
    </row>
    <row r="27" spans="1:5" ht="15.95" customHeight="1" x14ac:dyDescent="0.25">
      <c r="A27" s="2" t="s">
        <v>182</v>
      </c>
      <c r="B27" s="3" t="s">
        <v>183</v>
      </c>
      <c r="C27" s="4">
        <v>320000</v>
      </c>
      <c r="D27" s="4">
        <v>3449600</v>
      </c>
      <c r="E27" s="23">
        <v>1.9599999999999999E-2</v>
      </c>
    </row>
    <row r="28" spans="1:5" ht="15.95" customHeight="1" x14ac:dyDescent="0.25">
      <c r="A28" s="7" t="s">
        <v>240</v>
      </c>
      <c r="B28" s="8" t="s">
        <v>241</v>
      </c>
      <c r="C28" s="9">
        <v>1000000</v>
      </c>
      <c r="D28" s="9">
        <v>3410000</v>
      </c>
      <c r="E28" s="26">
        <v>1.9300000000000001E-2</v>
      </c>
    </row>
    <row r="29" spans="1:5" ht="15.95" customHeight="1" x14ac:dyDescent="0.25">
      <c r="A29" s="2" t="s">
        <v>244</v>
      </c>
      <c r="B29" s="3" t="s">
        <v>245</v>
      </c>
      <c r="C29" s="4">
        <v>200000</v>
      </c>
      <c r="D29" s="4">
        <v>2862000</v>
      </c>
      <c r="E29" s="23">
        <v>1.6199999999999999E-2</v>
      </c>
    </row>
    <row r="30" spans="1:5" ht="15.95" customHeight="1" x14ac:dyDescent="0.25">
      <c r="A30" s="7" t="s">
        <v>164</v>
      </c>
      <c r="B30" s="8" t="s">
        <v>165</v>
      </c>
      <c r="C30" s="9">
        <v>80681</v>
      </c>
      <c r="D30" s="9">
        <v>2470452</v>
      </c>
      <c r="E30" s="26">
        <v>1.4E-2</v>
      </c>
    </row>
    <row r="31" spans="1:5" ht="15.95" customHeight="1" x14ac:dyDescent="0.25">
      <c r="A31" s="2" t="s">
        <v>180</v>
      </c>
      <c r="B31" s="3" t="s">
        <v>181</v>
      </c>
      <c r="C31" s="4">
        <v>60744</v>
      </c>
      <c r="D31" s="4">
        <v>2279114</v>
      </c>
      <c r="E31" s="23">
        <v>1.29E-2</v>
      </c>
    </row>
    <row r="32" spans="1:5" ht="15.95" customHeight="1" x14ac:dyDescent="0.25">
      <c r="A32" s="7" t="s">
        <v>174</v>
      </c>
      <c r="B32" s="8" t="s">
        <v>175</v>
      </c>
      <c r="C32" s="9">
        <v>30000</v>
      </c>
      <c r="D32" s="9">
        <v>2152500</v>
      </c>
      <c r="E32" s="26">
        <v>1.2200000000000001E-2</v>
      </c>
    </row>
    <row r="33" spans="1:5" ht="15.95" customHeight="1" x14ac:dyDescent="0.25">
      <c r="A33" s="2" t="s">
        <v>88</v>
      </c>
      <c r="B33" s="3" t="s">
        <v>89</v>
      </c>
      <c r="C33" s="4">
        <v>5000</v>
      </c>
      <c r="D33" s="4">
        <v>2127500</v>
      </c>
      <c r="E33" s="23">
        <v>1.21E-2</v>
      </c>
    </row>
    <row r="34" spans="1:5" ht="15.95" customHeight="1" x14ac:dyDescent="0.25">
      <c r="A34" s="7" t="s">
        <v>184</v>
      </c>
      <c r="B34" s="8" t="s">
        <v>185</v>
      </c>
      <c r="C34" s="9">
        <v>30000</v>
      </c>
      <c r="D34" s="9">
        <v>1804500</v>
      </c>
      <c r="E34" s="26">
        <v>1.0200000000000001E-2</v>
      </c>
    </row>
    <row r="35" spans="1:5" ht="15.95" customHeight="1" x14ac:dyDescent="0.25">
      <c r="A35" s="2" t="s">
        <v>186</v>
      </c>
      <c r="B35" s="3" t="s">
        <v>187</v>
      </c>
      <c r="C35" s="4">
        <v>150000</v>
      </c>
      <c r="D35" s="4">
        <v>1741500</v>
      </c>
      <c r="E35" s="23">
        <v>9.8999999999999991E-3</v>
      </c>
    </row>
    <row r="36" spans="1:5" x14ac:dyDescent="0.25">
      <c r="A36" s="21" t="s">
        <v>69</v>
      </c>
      <c r="B36" s="24"/>
      <c r="C36" s="24"/>
      <c r="D36" s="20">
        <f>SUM(D5:D35)</f>
        <v>158299237</v>
      </c>
      <c r="E36" s="25">
        <f>SUM(E5:E35)</f>
        <v>0.89770000000000016</v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10" style="30" customWidth="1"/>
    <col min="2" max="2" width="40" style="30" customWidth="1"/>
    <col min="3" max="3" width="18" style="30" customWidth="1"/>
    <col min="4" max="4" width="22" style="30" customWidth="1"/>
    <col min="5" max="5" width="14" style="30" customWidth="1"/>
  </cols>
  <sheetData>
    <row r="1" spans="1:10" ht="27.95" customHeight="1" x14ac:dyDescent="0.25">
      <c r="A1" s="56" t="s">
        <v>278</v>
      </c>
      <c r="B1" s="51"/>
      <c r="C1" s="51"/>
      <c r="D1" s="51"/>
      <c r="E1" s="51"/>
      <c r="F1" s="51"/>
      <c r="G1" s="51"/>
    </row>
    <row r="2" spans="1:10" ht="20.100000000000001" customHeight="1" x14ac:dyDescent="0.25">
      <c r="A2" s="21" t="s">
        <v>249</v>
      </c>
      <c r="B2" s="22" t="s">
        <v>61</v>
      </c>
      <c r="C2" s="21" t="s">
        <v>250</v>
      </c>
      <c r="D2" s="22" t="s">
        <v>62</v>
      </c>
      <c r="E2" s="21" t="s">
        <v>251</v>
      </c>
      <c r="F2" s="4">
        <v>1093163866.5699999</v>
      </c>
      <c r="G2" s="21" t="s">
        <v>252</v>
      </c>
      <c r="H2" s="5">
        <v>29.362404999999999</v>
      </c>
      <c r="I2" s="21" t="s">
        <v>253</v>
      </c>
      <c r="J2" s="6">
        <v>-4.4999999999999998E-2</v>
      </c>
    </row>
    <row r="3" spans="1:10" ht="6" customHeight="1" x14ac:dyDescent="0.25"/>
    <row r="4" spans="1:10" ht="30" customHeight="1" x14ac:dyDescent="0.25">
      <c r="A4" s="28" t="s">
        <v>254</v>
      </c>
      <c r="B4" s="28" t="s">
        <v>255</v>
      </c>
      <c r="C4" s="28" t="s">
        <v>256</v>
      </c>
      <c r="D4" s="28" t="s">
        <v>257</v>
      </c>
      <c r="E4" s="28" t="s">
        <v>258</v>
      </c>
    </row>
    <row r="5" spans="1:10" ht="15.95" customHeight="1" x14ac:dyDescent="0.25">
      <c r="A5" s="2" t="s">
        <v>78</v>
      </c>
      <c r="B5" s="3" t="s">
        <v>79</v>
      </c>
      <c r="C5" s="4">
        <v>150000</v>
      </c>
      <c r="D5" s="4">
        <v>102450000</v>
      </c>
      <c r="E5" s="23">
        <v>9.2399999999999996E-2</v>
      </c>
    </row>
    <row r="6" spans="1:10" ht="15.95" customHeight="1" x14ac:dyDescent="0.25">
      <c r="A6" s="7" t="s">
        <v>76</v>
      </c>
      <c r="B6" s="8" t="s">
        <v>77</v>
      </c>
      <c r="C6" s="9">
        <v>305000</v>
      </c>
      <c r="D6" s="9">
        <v>97676250</v>
      </c>
      <c r="E6" s="26">
        <v>8.8100000000000012E-2</v>
      </c>
    </row>
    <row r="7" spans="1:10" ht="15.95" customHeight="1" x14ac:dyDescent="0.25">
      <c r="A7" s="2" t="s">
        <v>74</v>
      </c>
      <c r="B7" s="3" t="s">
        <v>75</v>
      </c>
      <c r="C7" s="4">
        <v>345000</v>
      </c>
      <c r="D7" s="4">
        <v>89096250</v>
      </c>
      <c r="E7" s="23">
        <v>8.0299999999999996E-2</v>
      </c>
    </row>
    <row r="8" spans="1:10" ht="15.95" customHeight="1" x14ac:dyDescent="0.25">
      <c r="A8" s="7" t="s">
        <v>88</v>
      </c>
      <c r="B8" s="8" t="s">
        <v>89</v>
      </c>
      <c r="C8" s="9">
        <v>147000</v>
      </c>
      <c r="D8" s="9">
        <v>62548500</v>
      </c>
      <c r="E8" s="26">
        <v>5.6399999999999999E-2</v>
      </c>
    </row>
    <row r="9" spans="1:10" ht="15.95" customHeight="1" x14ac:dyDescent="0.25">
      <c r="A9" s="2" t="s">
        <v>126</v>
      </c>
      <c r="B9" s="3" t="s">
        <v>127</v>
      </c>
      <c r="C9" s="4">
        <v>3250000</v>
      </c>
      <c r="D9" s="4">
        <v>62432500</v>
      </c>
      <c r="E9" s="23">
        <v>5.6300000000000003E-2</v>
      </c>
    </row>
    <row r="10" spans="1:10" ht="15.95" customHeight="1" x14ac:dyDescent="0.25">
      <c r="A10" s="7" t="s">
        <v>94</v>
      </c>
      <c r="B10" s="8" t="s">
        <v>95</v>
      </c>
      <c r="C10" s="9">
        <v>1670000</v>
      </c>
      <c r="D10" s="9">
        <v>51603000</v>
      </c>
      <c r="E10" s="26">
        <v>4.6500000000000007E-2</v>
      </c>
    </row>
    <row r="11" spans="1:10" ht="15.95" customHeight="1" x14ac:dyDescent="0.25">
      <c r="A11" s="2" t="s">
        <v>164</v>
      </c>
      <c r="B11" s="3" t="s">
        <v>165</v>
      </c>
      <c r="C11" s="4">
        <v>1485000</v>
      </c>
      <c r="D11" s="4">
        <v>45470700</v>
      </c>
      <c r="E11" s="23">
        <v>4.0999999999999988E-2</v>
      </c>
    </row>
    <row r="12" spans="1:10" ht="15.95" customHeight="1" x14ac:dyDescent="0.25">
      <c r="A12" s="7" t="s">
        <v>116</v>
      </c>
      <c r="B12" s="8" t="s">
        <v>117</v>
      </c>
      <c r="C12" s="9">
        <v>5050000</v>
      </c>
      <c r="D12" s="9">
        <v>41915000</v>
      </c>
      <c r="E12" s="26">
        <v>3.78E-2</v>
      </c>
    </row>
    <row r="13" spans="1:10" ht="15.95" customHeight="1" x14ac:dyDescent="0.25">
      <c r="A13" s="2" t="s">
        <v>108</v>
      </c>
      <c r="B13" s="3" t="s">
        <v>109</v>
      </c>
      <c r="C13" s="4">
        <v>363000</v>
      </c>
      <c r="D13" s="4">
        <v>41563500</v>
      </c>
      <c r="E13" s="23">
        <v>3.7499999999999999E-2</v>
      </c>
    </row>
    <row r="14" spans="1:10" ht="15.95" customHeight="1" x14ac:dyDescent="0.25">
      <c r="A14" s="7" t="s">
        <v>124</v>
      </c>
      <c r="B14" s="8" t="s">
        <v>125</v>
      </c>
      <c r="C14" s="9">
        <v>203879</v>
      </c>
      <c r="D14" s="9">
        <v>37044814</v>
      </c>
      <c r="E14" s="26">
        <v>3.3399999999999999E-2</v>
      </c>
    </row>
    <row r="15" spans="1:10" ht="15.95" customHeight="1" x14ac:dyDescent="0.25">
      <c r="A15" s="2" t="s">
        <v>104</v>
      </c>
      <c r="B15" s="3" t="s">
        <v>105</v>
      </c>
      <c r="C15" s="4">
        <v>740000</v>
      </c>
      <c r="D15" s="4">
        <v>36038000</v>
      </c>
      <c r="E15" s="23">
        <v>3.2500000000000001E-2</v>
      </c>
    </row>
    <row r="16" spans="1:10" ht="15.95" customHeight="1" x14ac:dyDescent="0.25">
      <c r="A16" s="7" t="s">
        <v>154</v>
      </c>
      <c r="B16" s="8" t="s">
        <v>155</v>
      </c>
      <c r="C16" s="9">
        <v>850000</v>
      </c>
      <c r="D16" s="9">
        <v>35785000</v>
      </c>
      <c r="E16" s="26">
        <v>3.2300000000000002E-2</v>
      </c>
    </row>
    <row r="17" spans="1:5" ht="15.95" customHeight="1" x14ac:dyDescent="0.25">
      <c r="A17" s="2" t="s">
        <v>160</v>
      </c>
      <c r="B17" s="3" t="s">
        <v>161</v>
      </c>
      <c r="C17" s="4">
        <v>727500</v>
      </c>
      <c r="D17" s="4">
        <v>33392250</v>
      </c>
      <c r="E17" s="23">
        <v>3.0099999999999998E-2</v>
      </c>
    </row>
    <row r="18" spans="1:5" ht="15.95" customHeight="1" x14ac:dyDescent="0.25">
      <c r="A18" s="7" t="s">
        <v>134</v>
      </c>
      <c r="B18" s="8" t="s">
        <v>135</v>
      </c>
      <c r="C18" s="9">
        <v>67500</v>
      </c>
      <c r="D18" s="9">
        <v>31944375</v>
      </c>
      <c r="E18" s="26">
        <v>2.8799999999999999E-2</v>
      </c>
    </row>
    <row r="19" spans="1:5" ht="15.95" customHeight="1" x14ac:dyDescent="0.25">
      <c r="A19" s="2" t="s">
        <v>92</v>
      </c>
      <c r="B19" s="3" t="s">
        <v>93</v>
      </c>
      <c r="C19" s="4">
        <v>1100000</v>
      </c>
      <c r="D19" s="4">
        <v>31042000</v>
      </c>
      <c r="E19" s="23">
        <v>2.8000000000000001E-2</v>
      </c>
    </row>
    <row r="20" spans="1:5" ht="15.95" customHeight="1" x14ac:dyDescent="0.25">
      <c r="A20" s="7" t="s">
        <v>112</v>
      </c>
      <c r="B20" s="8" t="s">
        <v>113</v>
      </c>
      <c r="C20" s="9">
        <v>384366</v>
      </c>
      <c r="D20" s="9">
        <v>30941463</v>
      </c>
      <c r="E20" s="26">
        <v>2.7900000000000001E-2</v>
      </c>
    </row>
    <row r="21" spans="1:5" ht="15.95" customHeight="1" x14ac:dyDescent="0.25">
      <c r="A21" s="2" t="s">
        <v>172</v>
      </c>
      <c r="B21" s="3" t="s">
        <v>173</v>
      </c>
      <c r="C21" s="4">
        <v>1490000</v>
      </c>
      <c r="D21" s="4">
        <v>22499000</v>
      </c>
      <c r="E21" s="23">
        <v>2.0299999999999999E-2</v>
      </c>
    </row>
    <row r="22" spans="1:5" ht="15.95" customHeight="1" x14ac:dyDescent="0.25">
      <c r="A22" s="7" t="s">
        <v>236</v>
      </c>
      <c r="B22" s="8" t="s">
        <v>237</v>
      </c>
      <c r="C22" s="9">
        <v>2800000</v>
      </c>
      <c r="D22" s="9">
        <v>22512000</v>
      </c>
      <c r="E22" s="26">
        <v>2.0299999999999999E-2</v>
      </c>
    </row>
    <row r="23" spans="1:5" ht="15.95" customHeight="1" x14ac:dyDescent="0.25">
      <c r="A23" s="2" t="s">
        <v>130</v>
      </c>
      <c r="B23" s="3" t="s">
        <v>131</v>
      </c>
      <c r="C23" s="4">
        <v>503000</v>
      </c>
      <c r="D23" s="4">
        <v>16588940</v>
      </c>
      <c r="E23" s="23">
        <v>1.4999999999999999E-2</v>
      </c>
    </row>
    <row r="24" spans="1:5" ht="15.95" customHeight="1" x14ac:dyDescent="0.25">
      <c r="A24" s="7" t="s">
        <v>128</v>
      </c>
      <c r="B24" s="8" t="s">
        <v>129</v>
      </c>
      <c r="C24" s="9">
        <v>52000</v>
      </c>
      <c r="D24" s="9">
        <v>16094000</v>
      </c>
      <c r="E24" s="26">
        <v>1.4500000000000001E-2</v>
      </c>
    </row>
    <row r="25" spans="1:5" ht="15.95" customHeight="1" x14ac:dyDescent="0.25">
      <c r="A25" s="2" t="s">
        <v>176</v>
      </c>
      <c r="B25" s="3" t="s">
        <v>177</v>
      </c>
      <c r="C25" s="4">
        <v>265000</v>
      </c>
      <c r="D25" s="4">
        <v>11421500</v>
      </c>
      <c r="E25" s="23">
        <v>1.03E-2</v>
      </c>
    </row>
    <row r="26" spans="1:5" x14ac:dyDescent="0.25">
      <c r="A26" s="21" t="s">
        <v>69</v>
      </c>
      <c r="B26" s="24"/>
      <c r="C26" s="24"/>
      <c r="D26" s="20">
        <f>SUM(D5:D25)</f>
        <v>920059042</v>
      </c>
      <c r="E26" s="25">
        <f>SUM(E5:E25)</f>
        <v>0.82969999999999999</v>
      </c>
    </row>
  </sheetData>
  <mergeCells count="1"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abSelected="1" workbookViewId="0">
      <pane ySplit="4" topLeftCell="A5" activePane="bottomLeft" state="frozen"/>
      <selection pane="bottomLeft" activeCell="K14" sqref="K14"/>
    </sheetView>
  </sheetViews>
  <sheetFormatPr defaultRowHeight="15" x14ac:dyDescent="0.25"/>
  <cols>
    <col min="1" max="1" width="10" style="30" customWidth="1"/>
    <col min="2" max="2" width="40" style="30" customWidth="1"/>
    <col min="3" max="3" width="18" style="30" customWidth="1"/>
    <col min="4" max="4" width="22" style="30" customWidth="1"/>
    <col min="5" max="5" width="14" style="30" customWidth="1"/>
  </cols>
  <sheetData>
    <row r="1" spans="1:10" ht="27.95" customHeight="1" x14ac:dyDescent="0.25">
      <c r="A1" s="56" t="s">
        <v>279</v>
      </c>
      <c r="B1" s="51"/>
      <c r="C1" s="51"/>
      <c r="D1" s="51"/>
      <c r="E1" s="51"/>
      <c r="F1" s="51"/>
      <c r="G1" s="51"/>
    </row>
    <row r="2" spans="1:10" ht="20.100000000000001" customHeight="1" x14ac:dyDescent="0.25">
      <c r="A2" s="21" t="s">
        <v>249</v>
      </c>
      <c r="B2" s="22" t="s">
        <v>61</v>
      </c>
      <c r="C2" s="21" t="s">
        <v>250</v>
      </c>
      <c r="D2" s="22" t="s">
        <v>62</v>
      </c>
      <c r="E2" s="21" t="s">
        <v>251</v>
      </c>
      <c r="F2" s="4">
        <v>1127986514.3499999</v>
      </c>
      <c r="G2" s="21" t="s">
        <v>252</v>
      </c>
      <c r="H2" s="5">
        <v>2.1721789999999999</v>
      </c>
      <c r="I2" s="21" t="s">
        <v>253</v>
      </c>
      <c r="J2" s="6">
        <v>-9.2200000000000004E-2</v>
      </c>
    </row>
    <row r="3" spans="1:10" ht="6" customHeight="1" x14ac:dyDescent="0.25"/>
    <row r="4" spans="1:10" ht="30" customHeight="1" x14ac:dyDescent="0.25">
      <c r="A4" s="28" t="s">
        <v>254</v>
      </c>
      <c r="B4" s="28" t="s">
        <v>255</v>
      </c>
      <c r="C4" s="28" t="s">
        <v>256</v>
      </c>
      <c r="D4" s="28" t="s">
        <v>257</v>
      </c>
      <c r="E4" s="28" t="s">
        <v>258</v>
      </c>
    </row>
    <row r="5" spans="1:10" ht="15.95" customHeight="1" x14ac:dyDescent="0.25">
      <c r="A5" s="2" t="s">
        <v>90</v>
      </c>
      <c r="B5" s="3" t="s">
        <v>91</v>
      </c>
      <c r="C5" s="4">
        <v>260000</v>
      </c>
      <c r="D5" s="4">
        <v>76505000</v>
      </c>
      <c r="E5" s="23">
        <v>6.88E-2</v>
      </c>
    </row>
    <row r="6" spans="1:10" ht="15.95" customHeight="1" x14ac:dyDescent="0.25">
      <c r="A6" s="7" t="s">
        <v>94</v>
      </c>
      <c r="B6" s="8" t="s">
        <v>95</v>
      </c>
      <c r="C6" s="9">
        <v>2450000</v>
      </c>
      <c r="D6" s="9">
        <v>75705000</v>
      </c>
      <c r="E6" s="26">
        <v>6.8099999999999994E-2</v>
      </c>
    </row>
    <row r="7" spans="1:10" ht="15.95" customHeight="1" x14ac:dyDescent="0.25">
      <c r="A7" s="2" t="s">
        <v>142</v>
      </c>
      <c r="B7" s="3" t="s">
        <v>143</v>
      </c>
      <c r="C7" s="4">
        <v>559446</v>
      </c>
      <c r="D7" s="4">
        <v>65902738</v>
      </c>
      <c r="E7" s="23">
        <v>5.9299999999999999E-2</v>
      </c>
    </row>
    <row r="8" spans="1:10" ht="15.95" customHeight="1" x14ac:dyDescent="0.25">
      <c r="A8" s="7" t="s">
        <v>82</v>
      </c>
      <c r="B8" s="8" t="s">
        <v>83</v>
      </c>
      <c r="C8" s="9">
        <v>285000</v>
      </c>
      <c r="D8" s="9">
        <v>55518000</v>
      </c>
      <c r="E8" s="26">
        <v>4.99E-2</v>
      </c>
    </row>
    <row r="9" spans="1:10" ht="15.95" customHeight="1" x14ac:dyDescent="0.25">
      <c r="A9" s="2" t="s">
        <v>78</v>
      </c>
      <c r="B9" s="3" t="s">
        <v>79</v>
      </c>
      <c r="C9" s="4">
        <v>78200</v>
      </c>
      <c r="D9" s="4">
        <v>53410600</v>
      </c>
      <c r="E9" s="23">
        <v>4.8099999999999997E-2</v>
      </c>
    </row>
    <row r="10" spans="1:10" ht="15.95" customHeight="1" x14ac:dyDescent="0.25">
      <c r="A10" s="7" t="s">
        <v>204</v>
      </c>
      <c r="B10" s="8" t="s">
        <v>205</v>
      </c>
      <c r="C10" s="9">
        <v>1184818</v>
      </c>
      <c r="D10" s="9">
        <v>52108295</v>
      </c>
      <c r="E10" s="26">
        <v>4.6899999999999997E-2</v>
      </c>
    </row>
    <row r="11" spans="1:10" ht="15.95" customHeight="1" x14ac:dyDescent="0.25">
      <c r="A11" s="2" t="s">
        <v>112</v>
      </c>
      <c r="B11" s="3" t="s">
        <v>113</v>
      </c>
      <c r="C11" s="4">
        <v>500000</v>
      </c>
      <c r="D11" s="4">
        <v>40250000</v>
      </c>
      <c r="E11" s="23">
        <v>3.6200000000000003E-2</v>
      </c>
    </row>
    <row r="12" spans="1:10" ht="15.95" customHeight="1" x14ac:dyDescent="0.25">
      <c r="A12" s="7" t="s">
        <v>104</v>
      </c>
      <c r="B12" s="8" t="s">
        <v>105</v>
      </c>
      <c r="C12" s="9">
        <v>780000</v>
      </c>
      <c r="D12" s="9">
        <v>37986000</v>
      </c>
      <c r="E12" s="26">
        <v>3.4200000000000001E-2</v>
      </c>
    </row>
    <row r="13" spans="1:10" ht="15.95" customHeight="1" x14ac:dyDescent="0.25">
      <c r="A13" s="2" t="s">
        <v>130</v>
      </c>
      <c r="B13" s="3" t="s">
        <v>131</v>
      </c>
      <c r="C13" s="4">
        <v>1145000</v>
      </c>
      <c r="D13" s="4">
        <v>37762100</v>
      </c>
      <c r="E13" s="23">
        <v>3.4000000000000002E-2</v>
      </c>
    </row>
    <row r="14" spans="1:10" ht="15.95" customHeight="1" x14ac:dyDescent="0.25">
      <c r="A14" s="7" t="s">
        <v>176</v>
      </c>
      <c r="B14" s="8" t="s">
        <v>177</v>
      </c>
      <c r="C14" s="9">
        <v>711082</v>
      </c>
      <c r="D14" s="9">
        <v>30647634</v>
      </c>
      <c r="E14" s="26">
        <v>2.76E-2</v>
      </c>
    </row>
    <row r="15" spans="1:10" ht="15.95" customHeight="1" x14ac:dyDescent="0.25">
      <c r="A15" s="2" t="s">
        <v>118</v>
      </c>
      <c r="B15" s="3" t="s">
        <v>119</v>
      </c>
      <c r="C15" s="4">
        <v>95991</v>
      </c>
      <c r="D15" s="4">
        <v>29541230</v>
      </c>
      <c r="E15" s="23">
        <v>2.6599999999999999E-2</v>
      </c>
    </row>
    <row r="16" spans="1:10" ht="15.95" customHeight="1" x14ac:dyDescent="0.25">
      <c r="A16" s="7" t="s">
        <v>228</v>
      </c>
      <c r="B16" s="8" t="s">
        <v>229</v>
      </c>
      <c r="C16" s="9">
        <v>2360000</v>
      </c>
      <c r="D16" s="9">
        <v>25842000</v>
      </c>
      <c r="E16" s="26">
        <v>2.3199999999999998E-2</v>
      </c>
    </row>
    <row r="17" spans="1:5" ht="15.95" customHeight="1" x14ac:dyDescent="0.25">
      <c r="A17" s="2" t="s">
        <v>88</v>
      </c>
      <c r="B17" s="3" t="s">
        <v>89</v>
      </c>
      <c r="C17" s="4">
        <v>60000</v>
      </c>
      <c r="D17" s="4">
        <v>25530000</v>
      </c>
      <c r="E17" s="23">
        <v>2.3E-2</v>
      </c>
    </row>
    <row r="18" spans="1:5" ht="15.95" customHeight="1" x14ac:dyDescent="0.25">
      <c r="A18" s="7" t="s">
        <v>126</v>
      </c>
      <c r="B18" s="8" t="s">
        <v>127</v>
      </c>
      <c r="C18" s="9">
        <v>1250000</v>
      </c>
      <c r="D18" s="9">
        <v>24012500</v>
      </c>
      <c r="E18" s="26">
        <v>2.1600000000000001E-2</v>
      </c>
    </row>
    <row r="19" spans="1:5" ht="15.95" customHeight="1" x14ac:dyDescent="0.25">
      <c r="A19" s="2" t="s">
        <v>98</v>
      </c>
      <c r="B19" s="3" t="s">
        <v>99</v>
      </c>
      <c r="C19" s="4">
        <v>233000</v>
      </c>
      <c r="D19" s="4">
        <v>20830200</v>
      </c>
      <c r="E19" s="23">
        <v>1.8700000000000001E-2</v>
      </c>
    </row>
    <row r="20" spans="1:5" ht="15.95" customHeight="1" x14ac:dyDescent="0.25">
      <c r="A20" s="7" t="s">
        <v>170</v>
      </c>
      <c r="B20" s="8" t="s">
        <v>171</v>
      </c>
      <c r="C20" s="9">
        <v>1000000</v>
      </c>
      <c r="D20" s="9">
        <v>19970000</v>
      </c>
      <c r="E20" s="26">
        <v>1.7999999999999999E-2</v>
      </c>
    </row>
    <row r="21" spans="1:5" ht="15.95" customHeight="1" x14ac:dyDescent="0.25">
      <c r="A21" s="2" t="s">
        <v>132</v>
      </c>
      <c r="B21" s="3" t="s">
        <v>133</v>
      </c>
      <c r="C21" s="4">
        <v>675605</v>
      </c>
      <c r="D21" s="4">
        <v>19727666</v>
      </c>
      <c r="E21" s="23">
        <v>1.77E-2</v>
      </c>
    </row>
    <row r="22" spans="1:5" ht="15.95" customHeight="1" x14ac:dyDescent="0.25">
      <c r="A22" s="7" t="s">
        <v>100</v>
      </c>
      <c r="B22" s="8" t="s">
        <v>101</v>
      </c>
      <c r="C22" s="9">
        <v>100000</v>
      </c>
      <c r="D22" s="9">
        <v>19500000</v>
      </c>
      <c r="E22" s="26">
        <v>1.7500000000000002E-2</v>
      </c>
    </row>
    <row r="23" spans="1:5" ht="15.95" customHeight="1" x14ac:dyDescent="0.25">
      <c r="A23" s="2" t="s">
        <v>156</v>
      </c>
      <c r="B23" s="3" t="s">
        <v>157</v>
      </c>
      <c r="C23" s="4">
        <v>600000</v>
      </c>
      <c r="D23" s="4">
        <v>16356000</v>
      </c>
      <c r="E23" s="23">
        <v>1.47E-2</v>
      </c>
    </row>
    <row r="24" spans="1:5" ht="15.95" customHeight="1" x14ac:dyDescent="0.25">
      <c r="A24" s="7" t="s">
        <v>166</v>
      </c>
      <c r="B24" s="8" t="s">
        <v>167</v>
      </c>
      <c r="C24" s="9">
        <v>397500</v>
      </c>
      <c r="D24" s="9">
        <v>16114650</v>
      </c>
      <c r="E24" s="26">
        <v>1.4500000000000001E-2</v>
      </c>
    </row>
    <row r="25" spans="1:5" ht="15.95" customHeight="1" x14ac:dyDescent="0.25">
      <c r="A25" s="2" t="s">
        <v>114</v>
      </c>
      <c r="B25" s="3" t="s">
        <v>115</v>
      </c>
      <c r="C25" s="4">
        <v>1200000</v>
      </c>
      <c r="D25" s="4">
        <v>15804000</v>
      </c>
      <c r="E25" s="23">
        <v>1.4200000000000001E-2</v>
      </c>
    </row>
    <row r="26" spans="1:5" ht="15.95" customHeight="1" x14ac:dyDescent="0.25">
      <c r="A26" s="7" t="s">
        <v>96</v>
      </c>
      <c r="B26" s="8" t="s">
        <v>97</v>
      </c>
      <c r="C26" s="9">
        <v>125000</v>
      </c>
      <c r="D26" s="9">
        <v>15812500</v>
      </c>
      <c r="E26" s="26">
        <v>1.4200000000000001E-2</v>
      </c>
    </row>
    <row r="27" spans="1:5" ht="15.95" customHeight="1" x14ac:dyDescent="0.25">
      <c r="A27" s="2" t="s">
        <v>136</v>
      </c>
      <c r="B27" s="3" t="s">
        <v>137</v>
      </c>
      <c r="C27" s="4">
        <v>175000</v>
      </c>
      <c r="D27" s="4">
        <v>15470000</v>
      </c>
      <c r="E27" s="23">
        <v>1.3899999999999999E-2</v>
      </c>
    </row>
    <row r="28" spans="1:5" ht="15.95" customHeight="1" x14ac:dyDescent="0.25">
      <c r="A28" s="7" t="s">
        <v>84</v>
      </c>
      <c r="B28" s="8" t="s">
        <v>85</v>
      </c>
      <c r="C28" s="9">
        <v>460000</v>
      </c>
      <c r="D28" s="9">
        <v>15189200</v>
      </c>
      <c r="E28" s="26">
        <v>1.37E-2</v>
      </c>
    </row>
    <row r="29" spans="1:5" ht="15.95" customHeight="1" x14ac:dyDescent="0.25">
      <c r="A29" s="2" t="s">
        <v>246</v>
      </c>
      <c r="B29" s="3" t="s">
        <v>247</v>
      </c>
      <c r="C29" s="4">
        <v>855000</v>
      </c>
      <c r="D29" s="4">
        <v>14184450</v>
      </c>
      <c r="E29" s="23">
        <v>1.2800000000000001E-2</v>
      </c>
    </row>
    <row r="30" spans="1:5" ht="15.95" customHeight="1" x14ac:dyDescent="0.25">
      <c r="A30" s="7" t="s">
        <v>74</v>
      </c>
      <c r="B30" s="8" t="s">
        <v>75</v>
      </c>
      <c r="C30" s="9">
        <v>53759</v>
      </c>
      <c r="D30" s="9">
        <v>13883261</v>
      </c>
      <c r="E30" s="26">
        <v>1.2500000000000001E-2</v>
      </c>
    </row>
    <row r="31" spans="1:5" ht="15.95" customHeight="1" x14ac:dyDescent="0.25">
      <c r="A31" s="2" t="s">
        <v>116</v>
      </c>
      <c r="B31" s="3" t="s">
        <v>117</v>
      </c>
      <c r="C31" s="4">
        <v>1600000</v>
      </c>
      <c r="D31" s="4">
        <v>13280000</v>
      </c>
      <c r="E31" s="23">
        <v>1.1900000000000001E-2</v>
      </c>
    </row>
    <row r="32" spans="1:5" ht="15.95" customHeight="1" x14ac:dyDescent="0.25">
      <c r="A32" s="7" t="s">
        <v>134</v>
      </c>
      <c r="B32" s="8" t="s">
        <v>135</v>
      </c>
      <c r="C32" s="9">
        <v>24000</v>
      </c>
      <c r="D32" s="9">
        <v>11358000</v>
      </c>
      <c r="E32" s="26">
        <v>1.0200000000000001E-2</v>
      </c>
    </row>
    <row r="33" spans="1:5" ht="15.95" customHeight="1" x14ac:dyDescent="0.25">
      <c r="A33" s="2" t="s">
        <v>158</v>
      </c>
      <c r="B33" s="3" t="s">
        <v>159</v>
      </c>
      <c r="C33" s="4">
        <v>200000</v>
      </c>
      <c r="D33" s="4">
        <v>8632000</v>
      </c>
      <c r="E33" s="23">
        <v>7.8000000000000014E-3</v>
      </c>
    </row>
    <row r="34" spans="1:5" ht="15.95" customHeight="1" x14ac:dyDescent="0.25">
      <c r="A34" s="7" t="s">
        <v>182</v>
      </c>
      <c r="B34" s="8" t="s">
        <v>183</v>
      </c>
      <c r="C34" s="9">
        <v>800000</v>
      </c>
      <c r="D34" s="9">
        <v>8624000</v>
      </c>
      <c r="E34" s="26">
        <v>7.8000000000000014E-3</v>
      </c>
    </row>
    <row r="35" spans="1:5" x14ac:dyDescent="0.25">
      <c r="A35" s="21" t="s">
        <v>69</v>
      </c>
      <c r="B35" s="24"/>
      <c r="C35" s="24"/>
      <c r="D35" s="20">
        <f>SUM(D5:D34)</f>
        <v>875457024</v>
      </c>
      <c r="E35" s="25">
        <f>SUM(E5:E34)</f>
        <v>0.78760000000000019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24</vt:i4>
      </vt:variant>
    </vt:vector>
  </HeadingPairs>
  <TitlesOfParts>
    <vt:vector size="24" baseType="lpstr">
      <vt:lpstr>Ana Sayfa</vt:lpstr>
      <vt:lpstr>Hisse Analizi</vt:lpstr>
      <vt:lpstr>BMU</vt:lpstr>
      <vt:lpstr>DOH</vt:lpstr>
      <vt:lpstr>RBN</vt:lpstr>
      <vt:lpstr>RKH</vt:lpstr>
      <vt:lpstr>ST1</vt:lpstr>
      <vt:lpstr>THF</vt:lpstr>
      <vt:lpstr>BHA</vt:lpstr>
      <vt:lpstr>BIH</vt:lpstr>
      <vt:lpstr>HIM</vt:lpstr>
      <vt:lpstr>HVZ</vt:lpstr>
      <vt:lpstr>OMG</vt:lpstr>
      <vt:lpstr>PHE</vt:lpstr>
      <vt:lpstr>GL1</vt:lpstr>
      <vt:lpstr>HFR</vt:lpstr>
      <vt:lpstr>HGM</vt:lpstr>
      <vt:lpstr>AAV</vt:lpstr>
      <vt:lpstr>AED</vt:lpstr>
      <vt:lpstr>TLZ</vt:lpstr>
      <vt:lpstr>ZJL</vt:lpstr>
      <vt:lpstr>ZJV</vt:lpstr>
      <vt:lpstr>ZPE</vt:lpstr>
      <vt:lpstr>TZD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Turgay T</cp:lastModifiedBy>
  <dcterms:created xsi:type="dcterms:W3CDTF">2026-04-15T06:35:25Z</dcterms:created>
  <dcterms:modified xsi:type="dcterms:W3CDTF">2026-04-15T06:56:49Z</dcterms:modified>
</cp:coreProperties>
</file>